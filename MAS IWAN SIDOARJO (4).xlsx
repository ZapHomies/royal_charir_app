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9285" tabRatio="609" activeTab="3"/>
  </bookViews>
  <sheets>
    <sheet name="REKAP" sheetId="3" r:id="rId1"/>
    <sheet name="surat jalan" sheetId="5" r:id="rId2"/>
    <sheet name="KEUANGAN" sheetId="7" r:id="rId3"/>
    <sheet name="KEUANGAN 2" sheetId="8" r:id="rId4"/>
    <sheet name="NOTA" sheetId="9" r:id="rId5"/>
    <sheet name="kalkulator manual" sheetId="10" r:id="rId6"/>
  </sheets>
  <externalReferences>
    <externalReference r:id="rId7"/>
  </externalReferences>
  <definedNames>
    <definedName name="_xlnm._FilterDatabase" localSheetId="3" hidden="1">'KEUANGAN 2'!$C$3:$C$449</definedName>
    <definedName name="barang">'[1]DAFTAR HARGA'!$B$3:$C$301</definedName>
    <definedName name="daftar">'KEUANGAN 2'!$L$2:$M$8</definedName>
    <definedName name="HARGA">#REF!</definedName>
    <definedName name="HARGA01">#REF!</definedName>
    <definedName name="nmbarang">'[1]DAFTAR HARGA'!$B$3:$B$301</definedName>
    <definedName name="nmdaftar">'KEUANGAN 2'!$L$2:$L$8</definedName>
    <definedName name="_xlnm.Print_Area" localSheetId="2">KEUANGAN!$A$1:$F$56</definedName>
    <definedName name="_xlnm.Print_Area" localSheetId="3">'KEUANGAN 2'!$B$1:$J$1046</definedName>
  </definedNames>
  <calcPr calcId="124519"/>
</workbook>
</file>

<file path=xl/calcChain.xml><?xml version="1.0" encoding="utf-8"?>
<calcChain xmlns="http://schemas.openxmlformats.org/spreadsheetml/2006/main">
  <c r="F1035" i="8"/>
  <c r="F1034"/>
  <c r="F1033"/>
  <c r="F1036"/>
  <c r="F1037"/>
  <c r="E1038"/>
  <c r="F1038" s="1"/>
  <c r="F1040"/>
  <c r="F1039"/>
  <c r="F1041"/>
  <c r="F1005"/>
  <c r="F1004"/>
  <c r="F1019"/>
  <c r="F1020"/>
  <c r="E1021"/>
  <c r="F1021" s="1"/>
  <c r="F1022"/>
  <c r="F1024"/>
  <c r="F1023"/>
  <c r="F1025"/>
  <c r="F1026"/>
  <c r="F1027"/>
  <c r="F1028"/>
  <c r="F1029"/>
  <c r="F1030"/>
  <c r="F1031"/>
  <c r="F1032"/>
  <c r="F1011" l="1"/>
  <c r="F1012"/>
  <c r="F1013"/>
  <c r="F1014"/>
  <c r="F1015"/>
  <c r="E1016"/>
  <c r="F1016" s="1"/>
  <c r="F1017"/>
  <c r="F1018"/>
  <c r="F1010" l="1"/>
  <c r="I1010" s="1"/>
  <c r="F1006"/>
  <c r="E1007"/>
  <c r="F1007" s="1"/>
  <c r="I1007" s="1"/>
  <c r="F1008"/>
  <c r="F1009"/>
  <c r="F999"/>
  <c r="F1000"/>
  <c r="F1001"/>
  <c r="I1001" s="1"/>
  <c r="F1002"/>
  <c r="F1003" l="1"/>
  <c r="I1003" s="1"/>
  <c r="F987"/>
  <c r="F988"/>
  <c r="F989"/>
  <c r="F990"/>
  <c r="E991"/>
  <c r="F991" s="1"/>
  <c r="I989" s="1"/>
  <c r="F992"/>
  <c r="F993"/>
  <c r="E994"/>
  <c r="F994" s="1"/>
  <c r="F995"/>
  <c r="F996"/>
  <c r="F997"/>
  <c r="I997" s="1"/>
  <c r="F998"/>
  <c r="F968"/>
  <c r="F975"/>
  <c r="F976"/>
  <c r="F977"/>
  <c r="F978"/>
  <c r="E979"/>
  <c r="F979" s="1"/>
  <c r="F981"/>
  <c r="F980"/>
  <c r="F982"/>
  <c r="F983"/>
  <c r="F984"/>
  <c r="F985"/>
  <c r="F986"/>
  <c r="F970"/>
  <c r="F971"/>
  <c r="F972"/>
  <c r="F973"/>
  <c r="F974"/>
  <c r="I994" l="1"/>
  <c r="I987"/>
  <c r="I983"/>
  <c r="I976"/>
  <c r="I972"/>
  <c r="F965"/>
  <c r="F966"/>
  <c r="E967"/>
  <c r="F967" s="1"/>
  <c r="F969"/>
  <c r="I969" s="1"/>
  <c r="F964"/>
  <c r="F963"/>
  <c r="F962"/>
  <c r="F961"/>
  <c r="F960"/>
  <c r="E959"/>
  <c r="F959" s="1"/>
  <c r="F958"/>
  <c r="F957"/>
  <c r="F956"/>
  <c r="F955"/>
  <c r="F954"/>
  <c r="F953"/>
  <c r="E952"/>
  <c r="F952" s="1"/>
  <c r="F951"/>
  <c r="F950"/>
  <c r="F949"/>
  <c r="M928"/>
  <c r="Q965"/>
  <c r="Q964"/>
  <c r="Q963"/>
  <c r="Q962"/>
  <c r="Q961"/>
  <c r="Q960"/>
  <c r="P959"/>
  <c r="Q959" s="1"/>
  <c r="Q958"/>
  <c r="Q957"/>
  <c r="Q956"/>
  <c r="Q955"/>
  <c r="Q954"/>
  <c r="Q953"/>
  <c r="P952"/>
  <c r="Q952" s="1"/>
  <c r="Q951"/>
  <c r="Q950"/>
  <c r="Q949"/>
  <c r="I955" l="1"/>
  <c r="I959"/>
  <c r="I949"/>
  <c r="F941"/>
  <c r="F943" l="1"/>
  <c r="F942"/>
  <c r="F944"/>
  <c r="E945"/>
  <c r="F945" s="1"/>
  <c r="F946"/>
  <c r="F947"/>
  <c r="F948"/>
  <c r="I947" l="1"/>
  <c r="F939"/>
  <c r="F940"/>
  <c r="I940" s="1"/>
  <c r="F935"/>
  <c r="F936"/>
  <c r="F937"/>
  <c r="F938"/>
  <c r="F911"/>
  <c r="A905"/>
  <c r="I938" l="1"/>
  <c r="I935"/>
  <c r="F926"/>
  <c r="F925"/>
  <c r="F924"/>
  <c r="F928"/>
  <c r="F927"/>
  <c r="F932"/>
  <c r="F931"/>
  <c r="F930"/>
  <c r="E929"/>
  <c r="F929" s="1"/>
  <c r="E933"/>
  <c r="F933" s="1"/>
  <c r="F934"/>
  <c r="I924" l="1"/>
  <c r="I929"/>
  <c r="F889"/>
  <c r="N886"/>
  <c r="N892"/>
  <c r="N891"/>
  <c r="N890"/>
  <c r="N889"/>
  <c r="N888"/>
  <c r="N887"/>
  <c r="N885"/>
  <c r="N884"/>
  <c r="N883"/>
  <c r="F879"/>
  <c r="N898" s="1"/>
  <c r="F878"/>
  <c r="E877"/>
  <c r="F877" s="1"/>
  <c r="F894"/>
  <c r="F918"/>
  <c r="F919"/>
  <c r="E920"/>
  <c r="F920" s="1"/>
  <c r="F921"/>
  <c r="F922"/>
  <c r="F923"/>
  <c r="K876"/>
  <c r="F910"/>
  <c r="F914"/>
  <c r="F915"/>
  <c r="F913"/>
  <c r="F912"/>
  <c r="F916"/>
  <c r="F917"/>
  <c r="E905"/>
  <c r="F905" s="1"/>
  <c r="E904"/>
  <c r="F904" s="1"/>
  <c r="F907"/>
  <c r="F906"/>
  <c r="E908"/>
  <c r="F908" s="1"/>
  <c r="E909"/>
  <c r="F909" s="1"/>
  <c r="E901"/>
  <c r="F901" s="1"/>
  <c r="E902"/>
  <c r="F902" s="1"/>
  <c r="E903"/>
  <c r="F903" s="1"/>
  <c r="E893"/>
  <c r="F893" s="1"/>
  <c r="E895"/>
  <c r="F895" s="1"/>
  <c r="E896"/>
  <c r="F896" s="1"/>
  <c r="E899"/>
  <c r="F899" s="1"/>
  <c r="F898"/>
  <c r="F897"/>
  <c r="E900"/>
  <c r="F900" s="1"/>
  <c r="N897" s="1"/>
  <c r="E888"/>
  <c r="F888" s="1"/>
  <c r="E890"/>
  <c r="F890" s="1"/>
  <c r="E891"/>
  <c r="F891" s="1"/>
  <c r="E892"/>
  <c r="F892" s="1"/>
  <c r="I920" l="1"/>
  <c r="I895"/>
  <c r="N896"/>
  <c r="I922"/>
  <c r="I915"/>
  <c r="I918"/>
  <c r="I903"/>
  <c r="I911"/>
  <c r="N893"/>
  <c r="N895" s="1"/>
  <c r="F853"/>
  <c r="E887"/>
  <c r="F887" s="1"/>
  <c r="E886"/>
  <c r="F886" s="1"/>
  <c r="F885"/>
  <c r="F884"/>
  <c r="E883"/>
  <c r="F883" s="1"/>
  <c r="N900" l="1"/>
  <c r="E880"/>
  <c r="F880" s="1"/>
  <c r="E881"/>
  <c r="F881" s="1"/>
  <c r="E882"/>
  <c r="F882" s="1"/>
  <c r="E868"/>
  <c r="F868" s="1"/>
  <c r="E869"/>
  <c r="F869" s="1"/>
  <c r="E870"/>
  <c r="F870" s="1"/>
  <c r="E871"/>
  <c r="F871" s="1"/>
  <c r="E873"/>
  <c r="F873" s="1"/>
  <c r="E872"/>
  <c r="F872" s="1"/>
  <c r="E874"/>
  <c r="F874" s="1"/>
  <c r="E876"/>
  <c r="F876" s="1"/>
  <c r="I880" l="1"/>
  <c r="I871"/>
  <c r="E875"/>
  <c r="F875" s="1"/>
  <c r="I875" s="1"/>
  <c r="G5" i="10"/>
  <c r="G6" s="1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4"/>
  <c r="G3"/>
  <c r="G2"/>
  <c r="D17"/>
  <c r="D13"/>
  <c r="D9"/>
  <c r="C26"/>
  <c r="E865" i="8"/>
  <c r="F865" s="1"/>
  <c r="E866"/>
  <c r="F866" s="1"/>
  <c r="E867"/>
  <c r="F867" s="1"/>
  <c r="E862"/>
  <c r="F862" s="1"/>
  <c r="E863"/>
  <c r="F863" s="1"/>
  <c r="E864"/>
  <c r="F864" s="1"/>
  <c r="I864" l="1"/>
  <c r="I866"/>
  <c r="I862"/>
  <c r="E857"/>
  <c r="F857" s="1"/>
  <c r="E858"/>
  <c r="F858" s="1"/>
  <c r="F860"/>
  <c r="F859"/>
  <c r="E861"/>
  <c r="F861" s="1"/>
  <c r="E848"/>
  <c r="F848" s="1"/>
  <c r="E849"/>
  <c r="F849" s="1"/>
  <c r="E852"/>
  <c r="F852" s="1"/>
  <c r="F851"/>
  <c r="F850"/>
  <c r="E855"/>
  <c r="F855" s="1"/>
  <c r="F854"/>
  <c r="E856"/>
  <c r="F856" s="1"/>
  <c r="E841"/>
  <c r="F841" s="1"/>
  <c r="E842"/>
  <c r="F842" s="1"/>
  <c r="E843"/>
  <c r="F843" s="1"/>
  <c r="E844"/>
  <c r="F844" s="1"/>
  <c r="E845"/>
  <c r="F845" s="1"/>
  <c r="E846"/>
  <c r="F846" s="1"/>
  <c r="E847"/>
  <c r="F847" s="1"/>
  <c r="E835"/>
  <c r="F835" s="1"/>
  <c r="E836"/>
  <c r="F836" s="1"/>
  <c r="E837"/>
  <c r="F837" s="1"/>
  <c r="F839"/>
  <c r="F838"/>
  <c r="E840"/>
  <c r="F840" s="1"/>
  <c r="E832"/>
  <c r="F832" s="1"/>
  <c r="I832" s="1"/>
  <c r="E833"/>
  <c r="F833" s="1"/>
  <c r="E834"/>
  <c r="F834" s="1"/>
  <c r="E831"/>
  <c r="F831" s="1"/>
  <c r="E824"/>
  <c r="F824" s="1"/>
  <c r="E825"/>
  <c r="F825" s="1"/>
  <c r="F827"/>
  <c r="F826"/>
  <c r="E828"/>
  <c r="F828" s="1"/>
  <c r="E829"/>
  <c r="F829" s="1"/>
  <c r="E830"/>
  <c r="F830" s="1"/>
  <c r="E817"/>
  <c r="F817" s="1"/>
  <c r="E818"/>
  <c r="F818" s="1"/>
  <c r="E819"/>
  <c r="F819" s="1"/>
  <c r="E822"/>
  <c r="F822" s="1"/>
  <c r="F821"/>
  <c r="F820"/>
  <c r="E823"/>
  <c r="F823" s="1"/>
  <c r="E809"/>
  <c r="F809" s="1"/>
  <c r="E810"/>
  <c r="F810" s="1"/>
  <c r="F812"/>
  <c r="F811"/>
  <c r="E813"/>
  <c r="F813" s="1"/>
  <c r="E814"/>
  <c r="F814" s="1"/>
  <c r="E815"/>
  <c r="F815" s="1"/>
  <c r="E816"/>
  <c r="F816" s="1"/>
  <c r="E806"/>
  <c r="F806" s="1"/>
  <c r="E807"/>
  <c r="F807" s="1"/>
  <c r="E808"/>
  <c r="F808" s="1"/>
  <c r="E804"/>
  <c r="F804" s="1"/>
  <c r="E805"/>
  <c r="F805" s="1"/>
  <c r="I853" l="1"/>
  <c r="I848"/>
  <c r="I845"/>
  <c r="I842"/>
  <c r="I833"/>
  <c r="I824"/>
  <c r="I819"/>
  <c r="I814"/>
  <c r="I807"/>
  <c r="I810"/>
  <c r="I804"/>
  <c r="E799"/>
  <c r="F799" s="1"/>
  <c r="E800"/>
  <c r="F800" s="1"/>
  <c r="F802"/>
  <c r="F801"/>
  <c r="E803"/>
  <c r="F803" s="1"/>
  <c r="E795"/>
  <c r="F795" s="1"/>
  <c r="E796"/>
  <c r="F796" s="1"/>
  <c r="E797"/>
  <c r="F797" s="1"/>
  <c r="E798"/>
  <c r="F798" s="1"/>
  <c r="E774"/>
  <c r="F774" s="1"/>
  <c r="E794"/>
  <c r="F794" s="1"/>
  <c r="E784"/>
  <c r="F784" s="1"/>
  <c r="E785"/>
  <c r="F785" s="1"/>
  <c r="E786"/>
  <c r="F786" s="1"/>
  <c r="E788"/>
  <c r="F788" s="1"/>
  <c r="E789"/>
  <c r="F789" s="1"/>
  <c r="E792"/>
  <c r="F792" s="1"/>
  <c r="F791"/>
  <c r="F790"/>
  <c r="E793"/>
  <c r="F793" s="1"/>
  <c r="E787"/>
  <c r="F787" s="1"/>
  <c r="E777"/>
  <c r="F777" s="1"/>
  <c r="E780"/>
  <c r="F780" s="1"/>
  <c r="F779"/>
  <c r="F778"/>
  <c r="E781"/>
  <c r="F781" s="1"/>
  <c r="E783"/>
  <c r="F783" s="1"/>
  <c r="E782"/>
  <c r="F782" s="1"/>
  <c r="E776"/>
  <c r="F776" s="1"/>
  <c r="E772"/>
  <c r="F772" s="1"/>
  <c r="F771"/>
  <c r="E770"/>
  <c r="F770" s="1"/>
  <c r="E773"/>
  <c r="F773" s="1"/>
  <c r="E775"/>
  <c r="F775" s="1"/>
  <c r="I793" l="1"/>
  <c r="I787"/>
  <c r="I795"/>
  <c r="I782"/>
  <c r="I777"/>
  <c r="I771"/>
  <c r="E765"/>
  <c r="F765" s="1"/>
  <c r="E766"/>
  <c r="F766" s="1"/>
  <c r="E767"/>
  <c r="F767" s="1"/>
  <c r="E768"/>
  <c r="F768" s="1"/>
  <c r="F769"/>
  <c r="E758"/>
  <c r="F758" s="1"/>
  <c r="E757"/>
  <c r="F757" s="1"/>
  <c r="E761"/>
  <c r="F761" s="1"/>
  <c r="F760"/>
  <c r="F759"/>
  <c r="E762"/>
  <c r="F762" s="1"/>
  <c r="E763"/>
  <c r="F763" s="1"/>
  <c r="E764"/>
  <c r="F764" s="1"/>
  <c r="E748"/>
  <c r="F748" s="1"/>
  <c r="E749"/>
  <c r="F749" s="1"/>
  <c r="E750"/>
  <c r="F750" s="1"/>
  <c r="E747"/>
  <c r="F747" s="1"/>
  <c r="E752"/>
  <c r="F752" s="1"/>
  <c r="E753"/>
  <c r="F753" s="1"/>
  <c r="E754"/>
  <c r="F754" s="1"/>
  <c r="E755"/>
  <c r="F755" s="1"/>
  <c r="E756"/>
  <c r="F756" s="1"/>
  <c r="I756" l="1"/>
  <c r="I766"/>
  <c r="I752"/>
  <c r="E751"/>
  <c r="F751" s="1"/>
  <c r="I748" s="1"/>
  <c r="E740"/>
  <c r="F740" s="1"/>
  <c r="E742"/>
  <c r="F742" s="1"/>
  <c r="E741"/>
  <c r="F741" s="1"/>
  <c r="E743"/>
  <c r="F743" s="1"/>
  <c r="E744"/>
  <c r="F744" s="1"/>
  <c r="E745"/>
  <c r="F745" s="1"/>
  <c r="E746"/>
  <c r="F746" s="1"/>
  <c r="E738"/>
  <c r="F738" s="1"/>
  <c r="E739"/>
  <c r="F739" s="1"/>
  <c r="E728"/>
  <c r="F728" s="1"/>
  <c r="E729"/>
  <c r="F729" s="1"/>
  <c r="E736"/>
  <c r="F736" s="1"/>
  <c r="E731"/>
  <c r="F731" s="1"/>
  <c r="E730"/>
  <c r="F730" s="1"/>
  <c r="E733"/>
  <c r="F733" s="1"/>
  <c r="E734"/>
  <c r="F734" s="1"/>
  <c r="E735"/>
  <c r="F735" s="1"/>
  <c r="E732"/>
  <c r="F732" s="1"/>
  <c r="E737"/>
  <c r="F737" s="1"/>
  <c r="I745" l="1"/>
  <c r="I738"/>
  <c r="I734"/>
  <c r="I728"/>
  <c r="E724"/>
  <c r="F724" s="1"/>
  <c r="E722"/>
  <c r="F722" s="1"/>
  <c r="E723"/>
  <c r="F723" s="1"/>
  <c r="E721"/>
  <c r="F721" s="1"/>
  <c r="E725"/>
  <c r="F725" s="1"/>
  <c r="E726"/>
  <c r="F726" s="1"/>
  <c r="E727"/>
  <c r="F727" s="1"/>
  <c r="E717"/>
  <c r="F717" s="1"/>
  <c r="I725" l="1"/>
  <c r="E718"/>
  <c r="F718" s="1"/>
  <c r="E719"/>
  <c r="F719" s="1"/>
  <c r="E720"/>
  <c r="F720" s="1"/>
  <c r="E707"/>
  <c r="F707" s="1"/>
  <c r="E706"/>
  <c r="F706" s="1"/>
  <c r="E710"/>
  <c r="F710" s="1"/>
  <c r="E709"/>
  <c r="F709" s="1"/>
  <c r="E708"/>
  <c r="F708" s="1"/>
  <c r="E711"/>
  <c r="F711" s="1"/>
  <c r="E713"/>
  <c r="F713" s="1"/>
  <c r="E712"/>
  <c r="F712" s="1"/>
  <c r="E714"/>
  <c r="F714" s="1"/>
  <c r="E715"/>
  <c r="F715" s="1"/>
  <c r="E716"/>
  <c r="F716" s="1"/>
  <c r="I716" s="1"/>
  <c r="E705"/>
  <c r="F705" s="1"/>
  <c r="E704"/>
  <c r="F704" s="1"/>
  <c r="E694"/>
  <c r="F694" s="1"/>
  <c r="E695"/>
  <c r="F695" s="1"/>
  <c r="E698"/>
  <c r="F698" s="1"/>
  <c r="E697"/>
  <c r="F697" s="1"/>
  <c r="E696"/>
  <c r="F696" s="1"/>
  <c r="E700"/>
  <c r="F700" s="1"/>
  <c r="E699"/>
  <c r="F699" s="1"/>
  <c r="E701"/>
  <c r="F701" s="1"/>
  <c r="E702"/>
  <c r="F702" s="1"/>
  <c r="E703"/>
  <c r="F703" s="1"/>
  <c r="I704" l="1"/>
  <c r="I708"/>
  <c r="I718"/>
  <c r="I702"/>
  <c r="I699"/>
  <c r="I694"/>
  <c r="E692"/>
  <c r="F692" s="1"/>
  <c r="E693" l="1"/>
  <c r="F693" s="1"/>
  <c r="I692" s="1"/>
  <c r="E691" l="1"/>
  <c r="F691" s="1"/>
  <c r="E690"/>
  <c r="F690" s="1"/>
  <c r="E686"/>
  <c r="F686" s="1"/>
  <c r="E687"/>
  <c r="F687" s="1"/>
  <c r="E688"/>
  <c r="F688" s="1"/>
  <c r="E689"/>
  <c r="F689" s="1"/>
  <c r="E680"/>
  <c r="F680" s="1"/>
  <c r="E681"/>
  <c r="F681" s="1"/>
  <c r="E682"/>
  <c r="F682" s="1"/>
  <c r="E683"/>
  <c r="F683" s="1"/>
  <c r="E684"/>
  <c r="F684" s="1"/>
  <c r="E685"/>
  <c r="F685" s="1"/>
  <c r="I689" l="1"/>
  <c r="I685"/>
  <c r="E671"/>
  <c r="F671" s="1"/>
  <c r="E673"/>
  <c r="F673" s="1"/>
  <c r="E674"/>
  <c r="F674" s="1"/>
  <c r="E677"/>
  <c r="F677" s="1"/>
  <c r="E676"/>
  <c r="F676" s="1"/>
  <c r="E675"/>
  <c r="F675" s="1"/>
  <c r="E678"/>
  <c r="F678" s="1"/>
  <c r="E679"/>
  <c r="F679" s="1"/>
  <c r="I679" s="1"/>
  <c r="E672"/>
  <c r="F672" s="1"/>
  <c r="E662"/>
  <c r="F662" s="1"/>
  <c r="E667"/>
  <c r="F667" s="1"/>
  <c r="E666"/>
  <c r="F666" s="1"/>
  <c r="E665"/>
  <c r="F665" s="1"/>
  <c r="E670"/>
  <c r="F670" s="1"/>
  <c r="E669"/>
  <c r="F669" s="1"/>
  <c r="E668"/>
  <c r="F668" s="1"/>
  <c r="E664"/>
  <c r="F664" s="1"/>
  <c r="E663"/>
  <c r="F663" s="1"/>
  <c r="E656"/>
  <c r="F656" s="1"/>
  <c r="E659"/>
  <c r="F659" s="1"/>
  <c r="E658"/>
  <c r="F658" s="1"/>
  <c r="E657"/>
  <c r="F657" s="1"/>
  <c r="E661"/>
  <c r="F661" s="1"/>
  <c r="E660"/>
  <c r="F660" s="1"/>
  <c r="I671" l="1"/>
  <c r="I674"/>
  <c r="I662"/>
  <c r="E652"/>
  <c r="F652" s="1"/>
  <c r="E653"/>
  <c r="F653" s="1"/>
  <c r="E654"/>
  <c r="F654" s="1"/>
  <c r="E655"/>
  <c r="F655" s="1"/>
  <c r="I655" s="1"/>
  <c r="I652" l="1"/>
  <c r="E644"/>
  <c r="F644" s="1"/>
  <c r="E645"/>
  <c r="F645" s="1"/>
  <c r="E646"/>
  <c r="F646" s="1"/>
  <c r="E647"/>
  <c r="F647" s="1"/>
  <c r="E648"/>
  <c r="F648" s="1"/>
  <c r="E649"/>
  <c r="F649" s="1"/>
  <c r="E650"/>
  <c r="F650" s="1"/>
  <c r="E651"/>
  <c r="F651" s="1"/>
  <c r="E639"/>
  <c r="F639" s="1"/>
  <c r="E640"/>
  <c r="F640" s="1"/>
  <c r="E641"/>
  <c r="F641" s="1"/>
  <c r="E642"/>
  <c r="F642" s="1"/>
  <c r="E643"/>
  <c r="F643" s="1"/>
  <c r="I648" l="1"/>
  <c r="I646"/>
  <c r="I641"/>
  <c r="I639"/>
  <c r="E637"/>
  <c r="F637" s="1"/>
  <c r="E638"/>
  <c r="F638" s="1"/>
  <c r="E625"/>
  <c r="F625" s="1"/>
  <c r="E626"/>
  <c r="F626" s="1"/>
  <c r="E627"/>
  <c r="F627" s="1"/>
  <c r="E628"/>
  <c r="F628" s="1"/>
  <c r="E629"/>
  <c r="F629" s="1"/>
  <c r="E630"/>
  <c r="F630" s="1"/>
  <c r="E631"/>
  <c r="F631" s="1"/>
  <c r="E632"/>
  <c r="F632" s="1"/>
  <c r="E634"/>
  <c r="F634" s="1"/>
  <c r="E633"/>
  <c r="F633" s="1"/>
  <c r="E635"/>
  <c r="F635" s="1"/>
  <c r="I629" l="1"/>
  <c r="E636"/>
  <c r="F636" s="1"/>
  <c r="I636" s="1"/>
  <c r="E619"/>
  <c r="F619" s="1"/>
  <c r="E620"/>
  <c r="F620" s="1"/>
  <c r="E621"/>
  <c r="F621" s="1"/>
  <c r="E622"/>
  <c r="F622" s="1"/>
  <c r="E623"/>
  <c r="F623" s="1"/>
  <c r="E624"/>
  <c r="F624" s="1"/>
  <c r="E618"/>
  <c r="F618" s="1"/>
  <c r="I622" l="1"/>
  <c r="E617"/>
  <c r="F617" s="1"/>
  <c r="E616"/>
  <c r="F616" s="1"/>
  <c r="E615"/>
  <c r="F615" s="1"/>
  <c r="E614"/>
  <c r="F614" s="1"/>
  <c r="E613"/>
  <c r="F613" s="1"/>
  <c r="E612"/>
  <c r="F612" s="1"/>
  <c r="E611"/>
  <c r="F611" s="1"/>
  <c r="E610"/>
  <c r="F610" s="1"/>
  <c r="E609"/>
  <c r="F609" s="1"/>
  <c r="E602"/>
  <c r="F602" s="1"/>
  <c r="E605"/>
  <c r="F605" s="1"/>
  <c r="E604"/>
  <c r="F604" s="1"/>
  <c r="E603"/>
  <c r="F603" s="1"/>
  <c r="F608"/>
  <c r="E607"/>
  <c r="F607" s="1"/>
  <c r="E606"/>
  <c r="F606" s="1"/>
  <c r="E594"/>
  <c r="F594" s="1"/>
  <c r="I594" s="1"/>
  <c r="E595"/>
  <c r="F595" s="1"/>
  <c r="E596"/>
  <c r="F596" s="1"/>
  <c r="E597"/>
  <c r="F597" s="1"/>
  <c r="E598"/>
  <c r="F598" s="1"/>
  <c r="E599"/>
  <c r="F599" s="1"/>
  <c r="E600"/>
  <c r="F600" s="1"/>
  <c r="E601"/>
  <c r="F601" s="1"/>
  <c r="E593"/>
  <c r="F593" s="1"/>
  <c r="E587"/>
  <c r="F587" s="1"/>
  <c r="E588"/>
  <c r="F588" s="1"/>
  <c r="E589"/>
  <c r="F589" s="1"/>
  <c r="E591"/>
  <c r="F591" s="1"/>
  <c r="E590"/>
  <c r="F590" s="1"/>
  <c r="E592"/>
  <c r="F592" s="1"/>
  <c r="E586"/>
  <c r="F586" s="1"/>
  <c r="E583"/>
  <c r="F583" s="1"/>
  <c r="E582"/>
  <c r="F582" s="1"/>
  <c r="E584"/>
  <c r="F584" s="1"/>
  <c r="E585"/>
  <c r="F585" s="1"/>
  <c r="E572"/>
  <c r="F572" s="1"/>
  <c r="E573"/>
  <c r="F573" s="1"/>
  <c r="E574"/>
  <c r="F574" s="1"/>
  <c r="E575"/>
  <c r="F575" s="1"/>
  <c r="E576"/>
  <c r="F576" s="1"/>
  <c r="E577"/>
  <c r="F577" s="1"/>
  <c r="E578"/>
  <c r="F578" s="1"/>
  <c r="E579"/>
  <c r="F579" s="1"/>
  <c r="E580"/>
  <c r="F580" s="1"/>
  <c r="E581"/>
  <c r="F581" s="1"/>
  <c r="I585" l="1"/>
  <c r="I614"/>
  <c r="I591"/>
  <c r="I595"/>
  <c r="I600"/>
  <c r="I610"/>
  <c r="I580"/>
  <c r="I577"/>
  <c r="I587"/>
  <c r="E570"/>
  <c r="F570" s="1"/>
  <c r="E571"/>
  <c r="F571" s="1"/>
  <c r="I571" s="1"/>
  <c r="E569" l="1"/>
  <c r="F569" s="1"/>
  <c r="E568"/>
  <c r="F568" s="1"/>
  <c r="E567"/>
  <c r="F567" s="1"/>
  <c r="E560" l="1"/>
  <c r="F560" s="1"/>
  <c r="E562"/>
  <c r="F562" s="1"/>
  <c r="E566"/>
  <c r="F566" s="1"/>
  <c r="I566" s="1"/>
  <c r="E565"/>
  <c r="F565" s="1"/>
  <c r="E564"/>
  <c r="F564" s="1"/>
  <c r="E563"/>
  <c r="F563" s="1"/>
  <c r="I563" l="1"/>
  <c r="E561"/>
  <c r="F561" s="1"/>
  <c r="I560" s="1"/>
  <c r="E548" l="1"/>
  <c r="F548" s="1"/>
  <c r="E549"/>
  <c r="F549" s="1"/>
  <c r="E550"/>
  <c r="F550" s="1"/>
  <c r="E551"/>
  <c r="F551" s="1"/>
  <c r="E552"/>
  <c r="F552" s="1"/>
  <c r="E553"/>
  <c r="F553" s="1"/>
  <c r="E555"/>
  <c r="F555" s="1"/>
  <c r="E554"/>
  <c r="F554" s="1"/>
  <c r="E556"/>
  <c r="F556" s="1"/>
  <c r="E557"/>
  <c r="F557" s="1"/>
  <c r="E558"/>
  <c r="F558" s="1"/>
  <c r="E559"/>
  <c r="F559" s="1"/>
  <c r="I553" l="1"/>
  <c r="I548"/>
  <c r="E544"/>
  <c r="F544" s="1"/>
  <c r="E545"/>
  <c r="F545" s="1"/>
  <c r="E546"/>
  <c r="F546" s="1"/>
  <c r="E547"/>
  <c r="F547" s="1"/>
  <c r="E539" l="1"/>
  <c r="F539" s="1"/>
  <c r="E540"/>
  <c r="F540" s="1"/>
  <c r="E541"/>
  <c r="F541" s="1"/>
  <c r="E542"/>
  <c r="F542" s="1"/>
  <c r="E543"/>
  <c r="F543" s="1"/>
  <c r="I539" l="1"/>
  <c r="E533"/>
  <c r="F533" s="1"/>
  <c r="E538" l="1"/>
  <c r="F538" s="1"/>
  <c r="E535"/>
  <c r="F535" s="1"/>
  <c r="E534"/>
  <c r="F534" s="1"/>
  <c r="E536"/>
  <c r="F536" s="1"/>
  <c r="E537"/>
  <c r="F537" s="1"/>
  <c r="I534" l="1"/>
  <c r="E532"/>
  <c r="F532" s="1"/>
  <c r="E531" l="1"/>
  <c r="F531" s="1"/>
  <c r="E512" l="1"/>
  <c r="F512" s="1"/>
  <c r="E510"/>
  <c r="F510" s="1"/>
  <c r="E511"/>
  <c r="F511" s="1"/>
  <c r="E513"/>
  <c r="F513" s="1"/>
  <c r="E514"/>
  <c r="F514" s="1"/>
  <c r="E516"/>
  <c r="F516" s="1"/>
  <c r="E515"/>
  <c r="F515" s="1"/>
  <c r="E517"/>
  <c r="F517" s="1"/>
  <c r="E518"/>
  <c r="F518" s="1"/>
  <c r="E519"/>
  <c r="F519" s="1"/>
  <c r="E520"/>
  <c r="F520" s="1"/>
  <c r="E521"/>
  <c r="F521" s="1"/>
  <c r="E522"/>
  <c r="F522" s="1"/>
  <c r="E524"/>
  <c r="F524" s="1"/>
  <c r="E523"/>
  <c r="F523" s="1"/>
  <c r="E525"/>
  <c r="F525" s="1"/>
  <c r="E526"/>
  <c r="F526" s="1"/>
  <c r="E527"/>
  <c r="F527" s="1"/>
  <c r="E528"/>
  <c r="F528" s="1"/>
  <c r="E529"/>
  <c r="F529" s="1"/>
  <c r="E530"/>
  <c r="F530" s="1"/>
  <c r="I530" s="1"/>
  <c r="I525" l="1"/>
  <c r="I518"/>
  <c r="I520"/>
  <c r="I513"/>
  <c r="I510"/>
  <c r="E502"/>
  <c r="F502" s="1"/>
  <c r="E501"/>
  <c r="F501" s="1"/>
  <c r="E500"/>
  <c r="F500" s="1"/>
  <c r="E504"/>
  <c r="F504" s="1"/>
  <c r="E503"/>
  <c r="F503" s="1"/>
  <c r="E505"/>
  <c r="F505" s="1"/>
  <c r="E506"/>
  <c r="F506" s="1"/>
  <c r="E507"/>
  <c r="F507" s="1"/>
  <c r="E508"/>
  <c r="F508" s="1"/>
  <c r="E509"/>
  <c r="F509" s="1"/>
  <c r="I507" l="1"/>
  <c r="I504"/>
  <c r="I500"/>
  <c r="E497"/>
  <c r="F497" s="1"/>
  <c r="E498"/>
  <c r="F498" s="1"/>
  <c r="E499"/>
  <c r="F499" s="1"/>
  <c r="E491" l="1"/>
  <c r="F491" s="1"/>
  <c r="E490"/>
  <c r="F490" s="1"/>
  <c r="E492"/>
  <c r="F492" s="1"/>
  <c r="E493"/>
  <c r="F493" s="1"/>
  <c r="E494"/>
  <c r="F494" s="1"/>
  <c r="E495"/>
  <c r="F495" s="1"/>
  <c r="E496"/>
  <c r="F496" s="1"/>
  <c r="I496" s="1"/>
  <c r="I491" l="1"/>
  <c r="E489"/>
  <c r="F489" s="1"/>
  <c r="F485" l="1"/>
  <c r="E484"/>
  <c r="F484" s="1"/>
  <c r="E483"/>
  <c r="F483" s="1"/>
  <c r="E475"/>
  <c r="F475" s="1"/>
  <c r="E476"/>
  <c r="F476" s="1"/>
  <c r="E477"/>
  <c r="F477" s="1"/>
  <c r="E478"/>
  <c r="F478" s="1"/>
  <c r="E479"/>
  <c r="F479" s="1"/>
  <c r="E480"/>
  <c r="F480" s="1"/>
  <c r="E482"/>
  <c r="F482" s="1"/>
  <c r="E481"/>
  <c r="F481" s="1"/>
  <c r="E486"/>
  <c r="F486" s="1"/>
  <c r="E487"/>
  <c r="F487" s="1"/>
  <c r="E488"/>
  <c r="F488" s="1"/>
  <c r="I486" l="1"/>
  <c r="I478"/>
  <c r="E474"/>
  <c r="F474" s="1"/>
  <c r="E469"/>
  <c r="F469" s="1"/>
  <c r="E471"/>
  <c r="F471" s="1"/>
  <c r="E470"/>
  <c r="F470" s="1"/>
  <c r="E472"/>
  <c r="F472" s="1"/>
  <c r="E473" l="1"/>
  <c r="F473" s="1"/>
  <c r="I473" s="1"/>
  <c r="E461" l="1"/>
  <c r="F461" s="1"/>
  <c r="E462"/>
  <c r="F462" s="1"/>
  <c r="E463"/>
  <c r="F463" s="1"/>
  <c r="E464"/>
  <c r="F464" s="1"/>
  <c r="E465"/>
  <c r="F465" s="1"/>
  <c r="E466"/>
  <c r="F466" s="1"/>
  <c r="E467"/>
  <c r="F467" s="1"/>
  <c r="E468"/>
  <c r="F468" s="1"/>
  <c r="I466" l="1"/>
  <c r="I462"/>
  <c r="E460"/>
  <c r="F460" s="1"/>
  <c r="E459"/>
  <c r="F459" s="1"/>
  <c r="E458"/>
  <c r="F458" s="1"/>
  <c r="E457"/>
  <c r="F457" s="1"/>
  <c r="E456"/>
  <c r="F456" s="1"/>
  <c r="I456" l="1"/>
  <c r="E455"/>
  <c r="F455" s="1"/>
  <c r="E454"/>
  <c r="F454" s="1"/>
  <c r="E453"/>
  <c r="F453" s="1"/>
  <c r="E452"/>
  <c r="F452" s="1"/>
  <c r="E451"/>
  <c r="F451" s="1"/>
  <c r="E450"/>
  <c r="F450" s="1"/>
  <c r="E449"/>
  <c r="F449" s="1"/>
  <c r="E1057"/>
  <c r="F1058" s="1"/>
  <c r="E1056"/>
  <c r="F1057" s="1"/>
  <c r="I449" l="1"/>
  <c r="E448"/>
  <c r="F448" s="1"/>
  <c r="F447"/>
  <c r="F446"/>
  <c r="E444" l="1"/>
  <c r="F444" s="1"/>
  <c r="E445"/>
  <c r="F445" s="1"/>
  <c r="I444" l="1"/>
  <c r="E434"/>
  <c r="F434" s="1"/>
  <c r="E435"/>
  <c r="F435" s="1"/>
  <c r="E436"/>
  <c r="F436" s="1"/>
  <c r="E437"/>
  <c r="F437" s="1"/>
  <c r="E438"/>
  <c r="F438" s="1"/>
  <c r="E439"/>
  <c r="F439" s="1"/>
  <c r="E440"/>
  <c r="F440" s="1"/>
  <c r="E441"/>
  <c r="F441" s="1"/>
  <c r="E442"/>
  <c r="F442" s="1"/>
  <c r="E443"/>
  <c r="F443" s="1"/>
  <c r="I438" l="1"/>
  <c r="E433"/>
  <c r="F433" s="1"/>
  <c r="I433" s="1"/>
  <c r="E404" l="1"/>
  <c r="F404" s="1"/>
  <c r="E406"/>
  <c r="F406" s="1"/>
  <c r="E432" l="1"/>
  <c r="F432" s="1"/>
  <c r="E431"/>
  <c r="F431" s="1"/>
  <c r="E430"/>
  <c r="F430" s="1"/>
  <c r="E429"/>
  <c r="F429" s="1"/>
  <c r="E428"/>
  <c r="F428" s="1"/>
  <c r="F427"/>
  <c r="I429" l="1"/>
  <c r="E423"/>
  <c r="F423" s="1"/>
  <c r="E424"/>
  <c r="F424" s="1"/>
  <c r="E425"/>
  <c r="F425" s="1"/>
  <c r="E426"/>
  <c r="F426" s="1"/>
  <c r="I425" l="1"/>
  <c r="E421"/>
  <c r="F421" s="1"/>
  <c r="E420"/>
  <c r="F420" s="1"/>
  <c r="E422"/>
  <c r="F422" s="1"/>
  <c r="E419"/>
  <c r="F419" s="1"/>
  <c r="I420" l="1"/>
  <c r="E417"/>
  <c r="F417" s="1"/>
  <c r="E418"/>
  <c r="F418" s="1"/>
  <c r="I417" l="1"/>
  <c r="E416"/>
  <c r="F416" s="1"/>
  <c r="E415"/>
  <c r="F415" s="1"/>
  <c r="E414"/>
  <c r="F414" s="1"/>
  <c r="E413"/>
  <c r="F413" s="1"/>
  <c r="I415" l="1"/>
  <c r="E409"/>
  <c r="F409" s="1"/>
  <c r="E408"/>
  <c r="F408" s="1"/>
  <c r="E407"/>
  <c r="F407" s="1"/>
  <c r="E411"/>
  <c r="F411" s="1"/>
  <c r="E412"/>
  <c r="F412" s="1"/>
  <c r="E410"/>
  <c r="F410" s="1"/>
  <c r="E402" l="1"/>
  <c r="F402" s="1"/>
  <c r="E405"/>
  <c r="F405" s="1"/>
  <c r="E403"/>
  <c r="F403" s="1"/>
  <c r="E401"/>
  <c r="F401" s="1"/>
  <c r="I403" l="1"/>
  <c r="E400"/>
  <c r="F400" s="1"/>
  <c r="E399" l="1"/>
  <c r="F399" s="1"/>
  <c r="I399" s="1"/>
  <c r="E398"/>
  <c r="F398" s="1"/>
  <c r="E397"/>
  <c r="F397" s="1"/>
  <c r="E396" l="1"/>
  <c r="F396" s="1"/>
  <c r="E334" l="1"/>
  <c r="F334" s="1"/>
  <c r="E333"/>
  <c r="F333" s="1"/>
  <c r="E377"/>
  <c r="F377" s="1"/>
  <c r="E378"/>
  <c r="F378" s="1"/>
  <c r="E379"/>
  <c r="F379" s="1"/>
  <c r="E380"/>
  <c r="F380" s="1"/>
  <c r="E381"/>
  <c r="F381" s="1"/>
  <c r="E382"/>
  <c r="F382" s="1"/>
  <c r="E383"/>
  <c r="F383" s="1"/>
  <c r="E384"/>
  <c r="F384" s="1"/>
  <c r="E385"/>
  <c r="F385" s="1"/>
  <c r="E386"/>
  <c r="F386" s="1"/>
  <c r="F387"/>
  <c r="E388"/>
  <c r="F388" s="1"/>
  <c r="E389"/>
  <c r="F389" s="1"/>
  <c r="E390"/>
  <c r="F390" s="1"/>
  <c r="E391"/>
  <c r="F391" s="1"/>
  <c r="E392"/>
  <c r="F392" s="1"/>
  <c r="E393"/>
  <c r="F393" s="1"/>
  <c r="E394"/>
  <c r="F394" s="1"/>
  <c r="I396" s="1"/>
  <c r="E395"/>
  <c r="F395" s="1"/>
  <c r="E376"/>
  <c r="F376" s="1"/>
  <c r="E375"/>
  <c r="F375" s="1"/>
  <c r="E374"/>
  <c r="F374" s="1"/>
  <c r="E373"/>
  <c r="F373" s="1"/>
  <c r="D12" i="9"/>
  <c r="E12" s="1"/>
  <c r="D11"/>
  <c r="E11" s="1"/>
  <c r="E7"/>
  <c r="E8"/>
  <c r="E9"/>
  <c r="E10"/>
  <c r="E372" i="8"/>
  <c r="F372" s="1"/>
  <c r="E371"/>
  <c r="F371" s="1"/>
  <c r="E370"/>
  <c r="F370" s="1"/>
  <c r="E369"/>
  <c r="F369" s="1"/>
  <c r="E368"/>
  <c r="F368" s="1"/>
  <c r="E367"/>
  <c r="F367" s="1"/>
  <c r="E366"/>
  <c r="F366" s="1"/>
  <c r="E365"/>
  <c r="F365" s="1"/>
  <c r="E364"/>
  <c r="F364" s="1"/>
  <c r="E363"/>
  <c r="F363" s="1"/>
  <c r="E362"/>
  <c r="F362" s="1"/>
  <c r="E361"/>
  <c r="F361" s="1"/>
  <c r="E360"/>
  <c r="F360" s="1"/>
  <c r="E359"/>
  <c r="F359" s="1"/>
  <c r="F358"/>
  <c r="E357"/>
  <c r="F357" s="1"/>
  <c r="E356"/>
  <c r="F356" s="1"/>
  <c r="E355"/>
  <c r="F355" s="1"/>
  <c r="E354"/>
  <c r="F354" s="1"/>
  <c r="E353"/>
  <c r="F353" s="1"/>
  <c r="E352"/>
  <c r="F352" s="1"/>
  <c r="E351"/>
  <c r="F351" s="1"/>
  <c r="E350"/>
  <c r="F350" s="1"/>
  <c r="E349"/>
  <c r="F349" s="1"/>
  <c r="E348"/>
  <c r="F348" s="1"/>
  <c r="E347"/>
  <c r="F347" s="1"/>
  <c r="E346"/>
  <c r="F346" s="1"/>
  <c r="E345"/>
  <c r="F345" s="1"/>
  <c r="E344"/>
  <c r="F344" s="1"/>
  <c r="E343"/>
  <c r="F343" s="1"/>
  <c r="E342"/>
  <c r="F342" s="1"/>
  <c r="E341"/>
  <c r="F341" s="1"/>
  <c r="E340"/>
  <c r="F340" s="1"/>
  <c r="E339"/>
  <c r="F339" s="1"/>
  <c r="E338"/>
  <c r="F338" s="1"/>
  <c r="E337"/>
  <c r="F337" s="1"/>
  <c r="E336"/>
  <c r="F336" s="1"/>
  <c r="E335"/>
  <c r="F335" s="1"/>
  <c r="E332"/>
  <c r="F332" s="1"/>
  <c r="E331"/>
  <c r="F331" s="1"/>
  <c r="E330"/>
  <c r="F330" s="1"/>
  <c r="E329"/>
  <c r="F329" s="1"/>
  <c r="E328"/>
  <c r="F328" s="1"/>
  <c r="E327"/>
  <c r="F327" s="1"/>
  <c r="E326"/>
  <c r="F326" s="1"/>
  <c r="E325"/>
  <c r="F325" s="1"/>
  <c r="E324"/>
  <c r="F324" s="1"/>
  <c r="E323"/>
  <c r="F323" s="1"/>
  <c r="E322"/>
  <c r="F322" s="1"/>
  <c r="E321"/>
  <c r="F321" s="1"/>
  <c r="E320"/>
  <c r="F320" s="1"/>
  <c r="E319"/>
  <c r="F319" s="1"/>
  <c r="E318"/>
  <c r="F318" s="1"/>
  <c r="E317"/>
  <c r="F317" s="1"/>
  <c r="E316"/>
  <c r="F316" s="1"/>
  <c r="E315"/>
  <c r="F315" s="1"/>
  <c r="E314"/>
  <c r="F314" s="1"/>
  <c r="E313"/>
  <c r="F313" s="1"/>
  <c r="E312"/>
  <c r="F312" s="1"/>
  <c r="E311"/>
  <c r="F311" s="1"/>
  <c r="E310"/>
  <c r="F310" s="1"/>
  <c r="E309"/>
  <c r="F309" s="1"/>
  <c r="E308"/>
  <c r="F308" s="1"/>
  <c r="E307"/>
  <c r="F307" s="1"/>
  <c r="E306"/>
  <c r="F306" s="1"/>
  <c r="E305"/>
  <c r="F305" s="1"/>
  <c r="E304"/>
  <c r="F304" s="1"/>
  <c r="E303"/>
  <c r="F303" s="1"/>
  <c r="E302"/>
  <c r="F302" s="1"/>
  <c r="E301"/>
  <c r="F301" s="1"/>
  <c r="E300"/>
  <c r="F300" s="1"/>
  <c r="E299"/>
  <c r="F299" s="1"/>
  <c r="E298"/>
  <c r="F298" s="1"/>
  <c r="E297"/>
  <c r="F297" s="1"/>
  <c r="E296"/>
  <c r="F296" s="1"/>
  <c r="E295"/>
  <c r="F295" s="1"/>
  <c r="E294"/>
  <c r="F294" s="1"/>
  <c r="E293"/>
  <c r="F293" s="1"/>
  <c r="E292"/>
  <c r="F292" s="1"/>
  <c r="E291"/>
  <c r="F291" s="1"/>
  <c r="E290"/>
  <c r="F290" s="1"/>
  <c r="E289"/>
  <c r="F289" s="1"/>
  <c r="E288"/>
  <c r="F288" s="1"/>
  <c r="E287"/>
  <c r="F287" s="1"/>
  <c r="E286"/>
  <c r="F286" s="1"/>
  <c r="E285"/>
  <c r="F285" s="1"/>
  <c r="E284"/>
  <c r="F284" s="1"/>
  <c r="E283"/>
  <c r="F283" s="1"/>
  <c r="E282"/>
  <c r="F282" s="1"/>
  <c r="E281"/>
  <c r="F281" s="1"/>
  <c r="E280"/>
  <c r="F280" s="1"/>
  <c r="E279"/>
  <c r="F279" s="1"/>
  <c r="E278"/>
  <c r="F278" s="1"/>
  <c r="E277"/>
  <c r="F277" s="1"/>
  <c r="E276"/>
  <c r="F276" s="1"/>
  <c r="E275"/>
  <c r="F275" s="1"/>
  <c r="E274"/>
  <c r="F274" s="1"/>
  <c r="E273"/>
  <c r="F273" s="1"/>
  <c r="E272"/>
  <c r="F272" s="1"/>
  <c r="E271"/>
  <c r="F271" s="1"/>
  <c r="E270"/>
  <c r="F270" s="1"/>
  <c r="E269"/>
  <c r="F269" s="1"/>
  <c r="E268"/>
  <c r="F268" s="1"/>
  <c r="E267"/>
  <c r="F267" s="1"/>
  <c r="E266"/>
  <c r="F266" s="1"/>
  <c r="E265"/>
  <c r="F265" s="1"/>
  <c r="E264"/>
  <c r="F264" s="1"/>
  <c r="E263"/>
  <c r="F263" s="1"/>
  <c r="E262"/>
  <c r="F262" s="1"/>
  <c r="E261"/>
  <c r="F261" s="1"/>
  <c r="E260"/>
  <c r="F260" s="1"/>
  <c r="E259"/>
  <c r="F259" s="1"/>
  <c r="E258"/>
  <c r="F258" s="1"/>
  <c r="E257"/>
  <c r="F257" s="1"/>
  <c r="E256"/>
  <c r="F256" s="1"/>
  <c r="E255"/>
  <c r="F255" s="1"/>
  <c r="E254"/>
  <c r="F254" s="1"/>
  <c r="E253"/>
  <c r="F253" s="1"/>
  <c r="E252"/>
  <c r="F252" s="1"/>
  <c r="E251"/>
  <c r="F251" s="1"/>
  <c r="E250"/>
  <c r="F250" s="1"/>
  <c r="E249"/>
  <c r="F249" s="1"/>
  <c r="E248"/>
  <c r="F248" s="1"/>
  <c r="E247"/>
  <c r="F247" s="1"/>
  <c r="E246"/>
  <c r="F246" s="1"/>
  <c r="E245"/>
  <c r="F245" s="1"/>
  <c r="E244"/>
  <c r="F244" s="1"/>
  <c r="E243"/>
  <c r="F243" s="1"/>
  <c r="E242"/>
  <c r="F242" s="1"/>
  <c r="E241"/>
  <c r="F241" s="1"/>
  <c r="E240"/>
  <c r="F240" s="1"/>
  <c r="E239"/>
  <c r="F239" s="1"/>
  <c r="E238"/>
  <c r="F238" s="1"/>
  <c r="E237"/>
  <c r="F237" s="1"/>
  <c r="E236"/>
  <c r="F236" s="1"/>
  <c r="E235"/>
  <c r="F235" s="1"/>
  <c r="E234"/>
  <c r="F234" s="1"/>
  <c r="E233"/>
  <c r="F233" s="1"/>
  <c r="E232"/>
  <c r="F232" s="1"/>
  <c r="E231"/>
  <c r="F231" s="1"/>
  <c r="E230"/>
  <c r="F230" s="1"/>
  <c r="E229"/>
  <c r="F229" s="1"/>
  <c r="E228"/>
  <c r="F228" s="1"/>
  <c r="E227"/>
  <c r="F227" s="1"/>
  <c r="E226"/>
  <c r="F226" s="1"/>
  <c r="E225"/>
  <c r="F225" s="1"/>
  <c r="E224"/>
  <c r="F224" s="1"/>
  <c r="E223"/>
  <c r="F223" s="1"/>
  <c r="E222"/>
  <c r="F222" s="1"/>
  <c r="E221"/>
  <c r="F221" s="1"/>
  <c r="E220"/>
  <c r="F220" s="1"/>
  <c r="E219"/>
  <c r="F219" s="1"/>
  <c r="E218"/>
  <c r="F218" s="1"/>
  <c r="E217"/>
  <c r="F217" s="1"/>
  <c r="E216"/>
  <c r="F216" s="1"/>
  <c r="E215"/>
  <c r="F215" s="1"/>
  <c r="E214"/>
  <c r="F214" s="1"/>
  <c r="E213"/>
  <c r="F213" s="1"/>
  <c r="E212"/>
  <c r="F212" s="1"/>
  <c r="E211"/>
  <c r="F211" s="1"/>
  <c r="E210"/>
  <c r="F210" s="1"/>
  <c r="E209"/>
  <c r="F209" s="1"/>
  <c r="E208"/>
  <c r="F208" s="1"/>
  <c r="E207"/>
  <c r="F207" s="1"/>
  <c r="E206"/>
  <c r="F206" s="1"/>
  <c r="E205"/>
  <c r="F205" s="1"/>
  <c r="E204"/>
  <c r="F204" s="1"/>
  <c r="E203"/>
  <c r="F203" s="1"/>
  <c r="E202"/>
  <c r="F202" s="1"/>
  <c r="E201"/>
  <c r="F201" s="1"/>
  <c r="E200"/>
  <c r="F200" s="1"/>
  <c r="E199"/>
  <c r="F199" s="1"/>
  <c r="E198"/>
  <c r="F198" s="1"/>
  <c r="E197"/>
  <c r="F197" s="1"/>
  <c r="E196"/>
  <c r="F196" s="1"/>
  <c r="E195"/>
  <c r="F195" s="1"/>
  <c r="E194"/>
  <c r="F194" s="1"/>
  <c r="E193"/>
  <c r="F193" s="1"/>
  <c r="E192"/>
  <c r="F192" s="1"/>
  <c r="E191"/>
  <c r="F191" s="1"/>
  <c r="E190"/>
  <c r="F190" s="1"/>
  <c r="E189"/>
  <c r="F189" s="1"/>
  <c r="E188"/>
  <c r="F188" s="1"/>
  <c r="E187"/>
  <c r="F187" s="1"/>
  <c r="E186"/>
  <c r="F186" s="1"/>
  <c r="E185"/>
  <c r="F185" s="1"/>
  <c r="E184"/>
  <c r="F184" s="1"/>
  <c r="E183"/>
  <c r="F183" s="1"/>
  <c r="E182"/>
  <c r="F182" s="1"/>
  <c r="E181"/>
  <c r="F181" s="1"/>
  <c r="E180"/>
  <c r="F180" s="1"/>
  <c r="E179"/>
  <c r="F179" s="1"/>
  <c r="E178"/>
  <c r="F178" s="1"/>
  <c r="E177"/>
  <c r="F177" s="1"/>
  <c r="E176"/>
  <c r="F176" s="1"/>
  <c r="E175"/>
  <c r="F175" s="1"/>
  <c r="E174"/>
  <c r="F174" s="1"/>
  <c r="E173"/>
  <c r="F173" s="1"/>
  <c r="E172"/>
  <c r="F172" s="1"/>
  <c r="E171"/>
  <c r="F171" s="1"/>
  <c r="E170"/>
  <c r="F170" s="1"/>
  <c r="E169"/>
  <c r="F169" s="1"/>
  <c r="E168"/>
  <c r="F168" s="1"/>
  <c r="E167"/>
  <c r="F167" s="1"/>
  <c r="E166"/>
  <c r="F166" s="1"/>
  <c r="E165"/>
  <c r="F165" s="1"/>
  <c r="E164"/>
  <c r="F164" s="1"/>
  <c r="E163"/>
  <c r="F163" s="1"/>
  <c r="E162"/>
  <c r="F162" s="1"/>
  <c r="E161"/>
  <c r="F161" s="1"/>
  <c r="E160"/>
  <c r="F160" s="1"/>
  <c r="E159"/>
  <c r="F159" s="1"/>
  <c r="E158"/>
  <c r="F158" s="1"/>
  <c r="E157"/>
  <c r="F157" s="1"/>
  <c r="E156"/>
  <c r="F156" s="1"/>
  <c r="E155"/>
  <c r="F155" s="1"/>
  <c r="E154"/>
  <c r="F154" s="1"/>
  <c r="E153"/>
  <c r="F153" s="1"/>
  <c r="E152"/>
  <c r="F152" s="1"/>
  <c r="E151"/>
  <c r="F151" s="1"/>
  <c r="E150"/>
  <c r="F150" s="1"/>
  <c r="E149"/>
  <c r="F149" s="1"/>
  <c r="E148"/>
  <c r="F148" s="1"/>
  <c r="E147"/>
  <c r="F147" s="1"/>
  <c r="E146"/>
  <c r="F146" s="1"/>
  <c r="E145"/>
  <c r="F145" s="1"/>
  <c r="E144"/>
  <c r="F144" s="1"/>
  <c r="E143"/>
  <c r="F143" s="1"/>
  <c r="E142"/>
  <c r="F142" s="1"/>
  <c r="E141"/>
  <c r="F141" s="1"/>
  <c r="E140"/>
  <c r="F140" s="1"/>
  <c r="E139"/>
  <c r="F139" s="1"/>
  <c r="E138"/>
  <c r="F138" s="1"/>
  <c r="E137"/>
  <c r="F137" s="1"/>
  <c r="E136"/>
  <c r="F136" s="1"/>
  <c r="E135"/>
  <c r="F135" s="1"/>
  <c r="E134"/>
  <c r="F134" s="1"/>
  <c r="E133"/>
  <c r="F133" s="1"/>
  <c r="E132"/>
  <c r="F132" s="1"/>
  <c r="E131"/>
  <c r="F131" s="1"/>
  <c r="E130"/>
  <c r="F130" s="1"/>
  <c r="E129"/>
  <c r="F129" s="1"/>
  <c r="E128"/>
  <c r="F128" s="1"/>
  <c r="E127"/>
  <c r="F127" s="1"/>
  <c r="E126"/>
  <c r="F126" s="1"/>
  <c r="E125"/>
  <c r="F125" s="1"/>
  <c r="E124"/>
  <c r="F124" s="1"/>
  <c r="E123"/>
  <c r="F123" s="1"/>
  <c r="E122"/>
  <c r="F122" s="1"/>
  <c r="E121"/>
  <c r="F121" s="1"/>
  <c r="E120"/>
  <c r="F120" s="1"/>
  <c r="E119"/>
  <c r="F119" s="1"/>
  <c r="E118"/>
  <c r="F118" s="1"/>
  <c r="E117"/>
  <c r="F117" s="1"/>
  <c r="E116"/>
  <c r="F116" s="1"/>
  <c r="E115"/>
  <c r="F115" s="1"/>
  <c r="E114"/>
  <c r="F114" s="1"/>
  <c r="E113"/>
  <c r="F113" s="1"/>
  <c r="E112"/>
  <c r="F112" s="1"/>
  <c r="E111"/>
  <c r="F111" s="1"/>
  <c r="E110"/>
  <c r="F110" s="1"/>
  <c r="E109"/>
  <c r="F109" s="1"/>
  <c r="E108"/>
  <c r="F108" s="1"/>
  <c r="E107"/>
  <c r="F107" s="1"/>
  <c r="E106"/>
  <c r="F106" s="1"/>
  <c r="E105"/>
  <c r="F105" s="1"/>
  <c r="E104"/>
  <c r="F104" s="1"/>
  <c r="E103"/>
  <c r="F103" s="1"/>
  <c r="E102"/>
  <c r="F102" s="1"/>
  <c r="E101"/>
  <c r="F101" s="1"/>
  <c r="E100"/>
  <c r="F100" s="1"/>
  <c r="E99"/>
  <c r="F99" s="1"/>
  <c r="E98"/>
  <c r="F98" s="1"/>
  <c r="E97"/>
  <c r="F97" s="1"/>
  <c r="E96"/>
  <c r="F96" s="1"/>
  <c r="E95"/>
  <c r="F95" s="1"/>
  <c r="E94"/>
  <c r="F94" s="1"/>
  <c r="E93"/>
  <c r="F93" s="1"/>
  <c r="E92"/>
  <c r="F92" s="1"/>
  <c r="E91"/>
  <c r="F91" s="1"/>
  <c r="E90"/>
  <c r="F90" s="1"/>
  <c r="E89"/>
  <c r="F89" s="1"/>
  <c r="E88"/>
  <c r="F88" s="1"/>
  <c r="E87"/>
  <c r="F87" s="1"/>
  <c r="E86"/>
  <c r="F86" s="1"/>
  <c r="E85"/>
  <c r="F85" s="1"/>
  <c r="E84"/>
  <c r="F84" s="1"/>
  <c r="E83"/>
  <c r="F83" s="1"/>
  <c r="E82"/>
  <c r="F82" s="1"/>
  <c r="E81"/>
  <c r="F81" s="1"/>
  <c r="E80"/>
  <c r="F80" s="1"/>
  <c r="E79"/>
  <c r="F79" s="1"/>
  <c r="E78"/>
  <c r="F78" s="1"/>
  <c r="E77"/>
  <c r="F77" s="1"/>
  <c r="E76"/>
  <c r="F76" s="1"/>
  <c r="E75"/>
  <c r="F75" s="1"/>
  <c r="E74"/>
  <c r="F74" s="1"/>
  <c r="E73"/>
  <c r="F73" s="1"/>
  <c r="E72"/>
  <c r="F72" s="1"/>
  <c r="E71"/>
  <c r="F71" s="1"/>
  <c r="E70"/>
  <c r="F70" s="1"/>
  <c r="E69"/>
  <c r="F69" s="1"/>
  <c r="E68"/>
  <c r="F68" s="1"/>
  <c r="E67"/>
  <c r="F67" s="1"/>
  <c r="F66"/>
  <c r="E65"/>
  <c r="F65" s="1"/>
  <c r="E64"/>
  <c r="F64" s="1"/>
  <c r="E63"/>
  <c r="F63" s="1"/>
  <c r="E62"/>
  <c r="F62" s="1"/>
  <c r="E61"/>
  <c r="F61" s="1"/>
  <c r="E60"/>
  <c r="F60" s="1"/>
  <c r="E59"/>
  <c r="F59" s="1"/>
  <c r="E58"/>
  <c r="F58" s="1"/>
  <c r="E57"/>
  <c r="F57" s="1"/>
  <c r="E56"/>
  <c r="F56" s="1"/>
  <c r="E55"/>
  <c r="F55" s="1"/>
  <c r="E54"/>
  <c r="F54" s="1"/>
  <c r="E53"/>
  <c r="F53" s="1"/>
  <c r="E52"/>
  <c r="F52" s="1"/>
  <c r="E51"/>
  <c r="F51" s="1"/>
  <c r="F50"/>
  <c r="F49"/>
  <c r="F48"/>
  <c r="F47"/>
  <c r="F46"/>
  <c r="F45"/>
  <c r="F44"/>
  <c r="F43"/>
  <c r="F42"/>
  <c r="F41"/>
  <c r="F40"/>
  <c r="E39"/>
  <c r="F39" s="1"/>
  <c r="F38"/>
  <c r="F37"/>
  <c r="F36"/>
  <c r="F35"/>
  <c r="F34"/>
  <c r="E33"/>
  <c r="F33" s="1"/>
  <c r="F32"/>
  <c r="F31"/>
  <c r="E30"/>
  <c r="F30" s="1"/>
  <c r="E29"/>
  <c r="F29" s="1"/>
  <c r="E28"/>
  <c r="F28" s="1"/>
  <c r="F27"/>
  <c r="F26"/>
  <c r="F25"/>
  <c r="F24"/>
  <c r="F22"/>
  <c r="F21"/>
  <c r="F20"/>
  <c r="F19"/>
  <c r="F18"/>
  <c r="F17"/>
  <c r="F16"/>
  <c r="E15"/>
  <c r="F15" s="1"/>
  <c r="F14"/>
  <c r="F13"/>
  <c r="F12"/>
  <c r="F11"/>
  <c r="E10"/>
  <c r="F10" s="1"/>
  <c r="F9"/>
  <c r="F8"/>
  <c r="F7"/>
  <c r="F6"/>
  <c r="F5"/>
  <c r="F4"/>
  <c r="F3"/>
  <c r="E55" i="7"/>
  <c r="C55"/>
  <c r="C56"/>
  <c r="A19" i="5"/>
  <c r="D2152" i="3"/>
  <c r="E2152" s="1"/>
  <c r="D2151"/>
  <c r="E2151" s="1"/>
  <c r="D2150"/>
  <c r="E2150" s="1"/>
  <c r="D2149"/>
  <c r="E2149" s="1"/>
  <c r="D2148"/>
  <c r="E2148" s="1"/>
  <c r="E2147"/>
  <c r="D2133"/>
  <c r="E2133" s="1"/>
  <c r="D2132"/>
  <c r="E2132" s="1"/>
  <c r="D2131"/>
  <c r="E2131" s="1"/>
  <c r="D2130"/>
  <c r="E2130" s="1"/>
  <c r="D2129"/>
  <c r="E2129" s="1"/>
  <c r="E2128"/>
  <c r="D2114"/>
  <c r="E2114" s="1"/>
  <c r="D2113"/>
  <c r="E2113" s="1"/>
  <c r="D2112"/>
  <c r="E2112" s="1"/>
  <c r="D2111"/>
  <c r="E2111" s="1"/>
  <c r="D2110"/>
  <c r="E2110" s="1"/>
  <c r="E2109"/>
  <c r="D2095"/>
  <c r="E2095" s="1"/>
  <c r="D2094"/>
  <c r="E2094" s="1"/>
  <c r="D2093"/>
  <c r="E2093" s="1"/>
  <c r="D2092"/>
  <c r="E2092" s="1"/>
  <c r="D2091"/>
  <c r="E2091" s="1"/>
  <c r="E2090"/>
  <c r="D2076"/>
  <c r="E2076" s="1"/>
  <c r="D2075"/>
  <c r="E2075" s="1"/>
  <c r="D2074"/>
  <c r="E2074" s="1"/>
  <c r="D2073"/>
  <c r="E2073" s="1"/>
  <c r="D2072"/>
  <c r="E2072" s="1"/>
  <c r="E2071"/>
  <c r="D2057"/>
  <c r="E2057" s="1"/>
  <c r="D2056"/>
  <c r="E2056" s="1"/>
  <c r="D2055"/>
  <c r="E2055" s="1"/>
  <c r="D2054"/>
  <c r="E2054" s="1"/>
  <c r="D2053"/>
  <c r="E2053" s="1"/>
  <c r="E2052"/>
  <c r="D2038"/>
  <c r="E2038" s="1"/>
  <c r="D2037"/>
  <c r="E2037" s="1"/>
  <c r="D2036"/>
  <c r="E2036" s="1"/>
  <c r="D2035"/>
  <c r="E2035" s="1"/>
  <c r="D2034"/>
  <c r="E2034" s="1"/>
  <c r="E2033"/>
  <c r="H2010"/>
  <c r="I2010"/>
  <c r="H2011"/>
  <c r="I2011"/>
  <c r="H2012"/>
  <c r="I2012"/>
  <c r="H2013"/>
  <c r="I2013"/>
  <c r="H2014"/>
  <c r="I2014"/>
  <c r="H2015"/>
  <c r="I2015"/>
  <c r="H2016"/>
  <c r="I2016"/>
  <c r="H2017"/>
  <c r="I2017"/>
  <c r="H2018"/>
  <c r="I2018"/>
  <c r="H2019"/>
  <c r="I2019"/>
  <c r="H2020"/>
  <c r="A2020"/>
  <c r="I2020"/>
  <c r="I2021"/>
  <c r="C2020"/>
  <c r="H1987"/>
  <c r="I1987"/>
  <c r="I1988"/>
  <c r="H1989"/>
  <c r="I1989"/>
  <c r="H1990"/>
  <c r="I1990"/>
  <c r="H1991"/>
  <c r="I1991"/>
  <c r="H1992"/>
  <c r="I1992"/>
  <c r="H1993"/>
  <c r="I1993"/>
  <c r="H1994"/>
  <c r="I1994"/>
  <c r="H1995"/>
  <c r="I1995"/>
  <c r="H1996"/>
  <c r="I1996"/>
  <c r="H1997"/>
  <c r="A1997"/>
  <c r="I1997"/>
  <c r="I1998"/>
  <c r="C1997"/>
  <c r="H1964"/>
  <c r="I1964"/>
  <c r="H1965"/>
  <c r="I1965"/>
  <c r="H1966"/>
  <c r="I1966"/>
  <c r="H1967"/>
  <c r="I1967"/>
  <c r="H1968"/>
  <c r="I1968"/>
  <c r="H1969"/>
  <c r="I1969"/>
  <c r="H1970"/>
  <c r="I1970"/>
  <c r="H1971"/>
  <c r="I1971"/>
  <c r="H1972"/>
  <c r="I1972"/>
  <c r="H1973"/>
  <c r="I1973"/>
  <c r="H1974"/>
  <c r="A1974"/>
  <c r="I1974"/>
  <c r="I1975"/>
  <c r="C1974"/>
  <c r="H1941"/>
  <c r="I1941"/>
  <c r="H1942"/>
  <c r="I1942"/>
  <c r="H1943"/>
  <c r="I1943"/>
  <c r="H1944"/>
  <c r="I1944"/>
  <c r="H1945"/>
  <c r="I1945"/>
  <c r="H1946"/>
  <c r="I1946"/>
  <c r="H1947"/>
  <c r="I1947"/>
  <c r="H1948"/>
  <c r="I1948"/>
  <c r="H1949"/>
  <c r="I1949"/>
  <c r="H1950"/>
  <c r="I1950"/>
  <c r="H1951"/>
  <c r="A1951"/>
  <c r="I1951"/>
  <c r="I1952"/>
  <c r="C1951"/>
  <c r="H1918"/>
  <c r="I1918"/>
  <c r="H1919"/>
  <c r="I1919"/>
  <c r="H1920"/>
  <c r="I1920"/>
  <c r="H1921"/>
  <c r="I1921"/>
  <c r="H1922"/>
  <c r="I1922"/>
  <c r="H1923"/>
  <c r="I1923"/>
  <c r="H1924"/>
  <c r="I1924"/>
  <c r="H1925"/>
  <c r="I1925"/>
  <c r="H1926"/>
  <c r="I1926"/>
  <c r="H1927"/>
  <c r="I1927"/>
  <c r="H1928"/>
  <c r="A1928"/>
  <c r="I1928"/>
  <c r="I1929"/>
  <c r="C1928"/>
  <c r="H1895"/>
  <c r="I1895"/>
  <c r="H1896"/>
  <c r="I1896"/>
  <c r="H1897"/>
  <c r="I1897"/>
  <c r="H1898"/>
  <c r="I1898"/>
  <c r="H1899"/>
  <c r="I1899"/>
  <c r="H1900"/>
  <c r="I1900"/>
  <c r="H1901"/>
  <c r="I1901"/>
  <c r="H1902"/>
  <c r="I1902"/>
  <c r="H1903"/>
  <c r="I1903"/>
  <c r="H1904"/>
  <c r="I1904"/>
  <c r="H1905"/>
  <c r="A1905"/>
  <c r="I1905"/>
  <c r="I1906"/>
  <c r="C1905"/>
  <c r="H1872"/>
  <c r="I1872"/>
  <c r="H1873"/>
  <c r="I1873"/>
  <c r="H1874"/>
  <c r="I1874"/>
  <c r="H1875"/>
  <c r="I1875"/>
  <c r="H1876"/>
  <c r="I1876"/>
  <c r="H1877"/>
  <c r="I1877"/>
  <c r="H1878"/>
  <c r="I1878"/>
  <c r="H1879"/>
  <c r="I1879"/>
  <c r="H1880"/>
  <c r="I1880"/>
  <c r="H1881"/>
  <c r="I1881"/>
  <c r="H1882"/>
  <c r="A1882"/>
  <c r="I1882"/>
  <c r="I1883"/>
  <c r="C1882"/>
  <c r="H1849"/>
  <c r="I1849"/>
  <c r="H1850"/>
  <c r="I1850"/>
  <c r="H1851"/>
  <c r="I1851"/>
  <c r="H1852"/>
  <c r="I1852"/>
  <c r="H1853"/>
  <c r="I1853"/>
  <c r="H1854"/>
  <c r="I1854"/>
  <c r="H1855"/>
  <c r="I1855"/>
  <c r="H1856"/>
  <c r="I1856"/>
  <c r="H1857"/>
  <c r="I1857"/>
  <c r="H1858"/>
  <c r="I1858"/>
  <c r="H1859"/>
  <c r="A1859"/>
  <c r="I1859"/>
  <c r="I1860"/>
  <c r="C1859"/>
  <c r="H1826"/>
  <c r="I1826"/>
  <c r="H1827"/>
  <c r="I1827"/>
  <c r="H1828"/>
  <c r="I1828"/>
  <c r="H1829"/>
  <c r="I1829"/>
  <c r="H1830"/>
  <c r="I1830"/>
  <c r="H1831"/>
  <c r="I1831"/>
  <c r="H1832"/>
  <c r="I1832"/>
  <c r="H1833"/>
  <c r="I1833"/>
  <c r="H1834"/>
  <c r="I1834"/>
  <c r="H1835"/>
  <c r="I1835"/>
  <c r="H1836"/>
  <c r="A1836"/>
  <c r="I1836"/>
  <c r="I1837"/>
  <c r="C1836"/>
  <c r="I1803"/>
  <c r="H1804"/>
  <c r="I1804"/>
  <c r="H1805"/>
  <c r="I1805"/>
  <c r="H1806"/>
  <c r="I1806"/>
  <c r="H1807"/>
  <c r="I1807"/>
  <c r="H1808"/>
  <c r="I1808"/>
  <c r="H1809"/>
  <c r="I1809"/>
  <c r="H1810"/>
  <c r="I1810"/>
  <c r="H1811"/>
  <c r="I1811"/>
  <c r="H1812"/>
  <c r="I1812"/>
  <c r="H1813"/>
  <c r="A1813"/>
  <c r="I1813"/>
  <c r="I1814"/>
  <c r="C1813"/>
  <c r="H1780"/>
  <c r="I1780"/>
  <c r="H1781"/>
  <c r="I1781"/>
  <c r="H1782"/>
  <c r="I1782"/>
  <c r="H1783"/>
  <c r="I1783"/>
  <c r="H1784"/>
  <c r="I1784"/>
  <c r="H1785"/>
  <c r="I1785"/>
  <c r="H1786"/>
  <c r="I1786"/>
  <c r="H1787"/>
  <c r="I1787"/>
  <c r="H1788"/>
  <c r="I1788"/>
  <c r="H1789"/>
  <c r="I1789"/>
  <c r="H1790"/>
  <c r="A1790"/>
  <c r="I1790"/>
  <c r="I1791"/>
  <c r="C1790"/>
  <c r="H1757"/>
  <c r="I1757"/>
  <c r="H1758"/>
  <c r="I1758"/>
  <c r="I1759"/>
  <c r="H1760"/>
  <c r="I1760"/>
  <c r="H1761"/>
  <c r="I1761"/>
  <c r="H1762"/>
  <c r="I1762"/>
  <c r="H1763"/>
  <c r="I1763"/>
  <c r="H1764"/>
  <c r="I1764"/>
  <c r="H1765"/>
  <c r="I1765"/>
  <c r="H1766"/>
  <c r="I1766"/>
  <c r="H1767"/>
  <c r="A1767"/>
  <c r="I1767"/>
  <c r="I1768"/>
  <c r="C1767"/>
  <c r="H1734"/>
  <c r="I1734"/>
  <c r="H1735"/>
  <c r="I1735"/>
  <c r="I1736"/>
  <c r="H1737"/>
  <c r="I1737"/>
  <c r="H1738"/>
  <c r="I1738"/>
  <c r="H1739"/>
  <c r="I1739"/>
  <c r="H1740"/>
  <c r="I1740"/>
  <c r="H1741"/>
  <c r="I1741"/>
  <c r="H1742"/>
  <c r="I1742"/>
  <c r="H1743"/>
  <c r="I1743"/>
  <c r="H1744"/>
  <c r="A1744"/>
  <c r="I1744"/>
  <c r="I1745"/>
  <c r="C1744"/>
  <c r="H1711"/>
  <c r="I1711"/>
  <c r="H1712"/>
  <c r="I1712"/>
  <c r="H1713"/>
  <c r="I1713"/>
  <c r="H1714"/>
  <c r="I1714"/>
  <c r="H1715"/>
  <c r="I1715"/>
  <c r="H1716"/>
  <c r="I1716"/>
  <c r="H1717"/>
  <c r="I1717"/>
  <c r="H1718"/>
  <c r="I1718"/>
  <c r="H1719"/>
  <c r="I1719"/>
  <c r="H1720"/>
  <c r="I1720"/>
  <c r="H1721"/>
  <c r="A1721"/>
  <c r="I1721"/>
  <c r="I1722"/>
  <c r="C1721"/>
  <c r="H1688"/>
  <c r="I1688"/>
  <c r="H1689"/>
  <c r="I1689"/>
  <c r="H1690"/>
  <c r="I1690"/>
  <c r="H1691"/>
  <c r="I1691"/>
  <c r="H1692"/>
  <c r="I1692"/>
  <c r="H1693"/>
  <c r="I1693"/>
  <c r="H1694"/>
  <c r="I1694"/>
  <c r="H1695"/>
  <c r="I1695"/>
  <c r="H1696"/>
  <c r="I1696"/>
  <c r="H1697"/>
  <c r="I1697"/>
  <c r="H1698"/>
  <c r="A1698"/>
  <c r="I1698"/>
  <c r="I1699"/>
  <c r="C1698"/>
  <c r="H1665"/>
  <c r="I1665"/>
  <c r="H1666"/>
  <c r="I1666"/>
  <c r="H1667"/>
  <c r="I1667"/>
  <c r="H1668"/>
  <c r="I1668"/>
  <c r="H1669"/>
  <c r="I1669"/>
  <c r="H1670"/>
  <c r="I1670"/>
  <c r="H1671"/>
  <c r="I1671"/>
  <c r="H1672"/>
  <c r="I1672"/>
  <c r="H1673"/>
  <c r="I1673"/>
  <c r="H1674"/>
  <c r="I1674"/>
  <c r="H1675"/>
  <c r="A1675"/>
  <c r="I1675"/>
  <c r="I1676"/>
  <c r="C1675"/>
  <c r="H1642"/>
  <c r="I1642"/>
  <c r="H1643"/>
  <c r="I1643"/>
  <c r="H1644"/>
  <c r="I1644"/>
  <c r="H1645"/>
  <c r="I1645"/>
  <c r="H1646"/>
  <c r="I1646"/>
  <c r="H1647"/>
  <c r="I1647"/>
  <c r="H1648"/>
  <c r="I1648"/>
  <c r="H1649"/>
  <c r="I1649"/>
  <c r="H1650"/>
  <c r="I1650"/>
  <c r="H1651"/>
  <c r="I1651"/>
  <c r="H1652"/>
  <c r="A1652"/>
  <c r="I1652"/>
  <c r="I1653"/>
  <c r="C1652"/>
  <c r="I1619"/>
  <c r="I1620"/>
  <c r="H1621"/>
  <c r="I1621"/>
  <c r="I1622"/>
  <c r="I1623"/>
  <c r="I1624"/>
  <c r="I1625"/>
  <c r="I1626"/>
  <c r="H1629"/>
  <c r="I1629" s="1"/>
  <c r="I1630" s="1"/>
  <c r="C1629"/>
  <c r="A1629"/>
  <c r="I1596"/>
  <c r="I1597"/>
  <c r="H1598"/>
  <c r="I1598"/>
  <c r="I1599"/>
  <c r="I1600"/>
  <c r="I1601"/>
  <c r="I1602"/>
  <c r="I1603"/>
  <c r="H1606"/>
  <c r="I1606" s="1"/>
  <c r="I1607" s="1"/>
  <c r="C1606"/>
  <c r="A1606"/>
  <c r="H1573"/>
  <c r="I1573"/>
  <c r="H1574"/>
  <c r="I1574"/>
  <c r="H1575"/>
  <c r="I1575"/>
  <c r="I1576"/>
  <c r="I1577"/>
  <c r="I1578"/>
  <c r="I1579"/>
  <c r="I1580"/>
  <c r="H1583"/>
  <c r="I1583" s="1"/>
  <c r="I1584" s="1"/>
  <c r="C1583"/>
  <c r="A1583"/>
  <c r="H1550"/>
  <c r="I1550"/>
  <c r="I1551"/>
  <c r="I1552"/>
  <c r="I1553"/>
  <c r="I1554"/>
  <c r="I1555"/>
  <c r="I1556"/>
  <c r="I1557"/>
  <c r="H1560"/>
  <c r="I1560" s="1"/>
  <c r="I1561" s="1"/>
  <c r="C1560"/>
  <c r="A1560"/>
  <c r="H1527"/>
  <c r="I1527"/>
  <c r="I1528"/>
  <c r="I1529"/>
  <c r="I1530"/>
  <c r="I1531"/>
  <c r="I1532"/>
  <c r="I1533"/>
  <c r="I1534"/>
  <c r="H1537"/>
  <c r="I1537" s="1"/>
  <c r="I1538" s="1"/>
  <c r="C1537"/>
  <c r="A1537"/>
  <c r="H1504"/>
  <c r="I1504"/>
  <c r="I1505"/>
  <c r="I1506"/>
  <c r="I1507"/>
  <c r="I1508"/>
  <c r="I1509"/>
  <c r="I1510"/>
  <c r="I1511"/>
  <c r="H1514"/>
  <c r="I1514" s="1"/>
  <c r="I1515" s="1"/>
  <c r="C1514"/>
  <c r="A1514"/>
  <c r="I1481"/>
  <c r="I1482"/>
  <c r="I1483"/>
  <c r="I1484"/>
  <c r="I1485"/>
  <c r="I1486"/>
  <c r="I1487"/>
  <c r="I1488"/>
  <c r="H1491"/>
  <c r="I1491" s="1"/>
  <c r="I1492" s="1"/>
  <c r="C1491"/>
  <c r="A1491"/>
  <c r="H1458"/>
  <c r="I1458"/>
  <c r="H1459"/>
  <c r="I1459"/>
  <c r="I1460"/>
  <c r="I1461"/>
  <c r="I1462"/>
  <c r="I1463"/>
  <c r="I1464"/>
  <c r="I1465"/>
  <c r="H1468"/>
  <c r="I1468" s="1"/>
  <c r="I1469" s="1"/>
  <c r="C1468"/>
  <c r="A1468"/>
  <c r="H1435"/>
  <c r="I1435"/>
  <c r="I1436"/>
  <c r="I1437"/>
  <c r="I1438"/>
  <c r="I1439"/>
  <c r="I1440"/>
  <c r="I1441"/>
  <c r="I1442"/>
  <c r="H1445"/>
  <c r="I1445" s="1"/>
  <c r="I1446" s="1"/>
  <c r="C1445"/>
  <c r="A1445"/>
  <c r="H1412"/>
  <c r="I1412"/>
  <c r="H1413"/>
  <c r="I1413"/>
  <c r="I1414"/>
  <c r="I1415"/>
  <c r="I1416"/>
  <c r="I1417"/>
  <c r="I1418"/>
  <c r="I1419"/>
  <c r="H1422"/>
  <c r="I1422" s="1"/>
  <c r="I1423" s="1"/>
  <c r="C1422"/>
  <c r="A1422"/>
  <c r="H1389"/>
  <c r="I1389"/>
  <c r="H1390"/>
  <c r="I1390"/>
  <c r="H1391"/>
  <c r="I1391"/>
  <c r="H1392"/>
  <c r="I1392"/>
  <c r="I1393"/>
  <c r="I1394"/>
  <c r="I1395"/>
  <c r="I1396"/>
  <c r="H1399"/>
  <c r="I1399" s="1"/>
  <c r="I1400" s="1"/>
  <c r="C1399"/>
  <c r="A1399"/>
  <c r="H1366"/>
  <c r="I1366"/>
  <c r="H1367"/>
  <c r="I1367"/>
  <c r="H1368"/>
  <c r="I1368"/>
  <c r="H1369"/>
  <c r="I1369"/>
  <c r="I1370"/>
  <c r="I1371"/>
  <c r="I1372"/>
  <c r="I1373"/>
  <c r="H1376"/>
  <c r="I1376"/>
  <c r="I1377" s="1"/>
  <c r="C1376"/>
  <c r="A1376"/>
  <c r="H1343"/>
  <c r="I1343"/>
  <c r="H1344"/>
  <c r="I1344"/>
  <c r="H1345"/>
  <c r="I1345"/>
  <c r="H1346"/>
  <c r="I1346"/>
  <c r="I1347"/>
  <c r="I1348"/>
  <c r="I1349"/>
  <c r="I1350"/>
  <c r="H1353"/>
  <c r="I1353" s="1"/>
  <c r="I1354" s="1"/>
  <c r="C1353"/>
  <c r="A1353"/>
  <c r="H1320"/>
  <c r="I1320"/>
  <c r="H1321"/>
  <c r="I1321"/>
  <c r="H1322"/>
  <c r="I1322"/>
  <c r="H1323"/>
  <c r="I1323"/>
  <c r="I1324"/>
  <c r="I1325"/>
  <c r="I1326"/>
  <c r="I1327"/>
  <c r="H1330"/>
  <c r="I1330" s="1"/>
  <c r="I1331" s="1"/>
  <c r="C1330"/>
  <c r="A1330"/>
  <c r="H1297"/>
  <c r="I1297"/>
  <c r="I1298"/>
  <c r="I1299"/>
  <c r="I1300"/>
  <c r="I1301"/>
  <c r="I1302"/>
  <c r="I1303"/>
  <c r="I1304"/>
  <c r="H1307"/>
  <c r="I1307" s="1"/>
  <c r="I1308" s="1"/>
  <c r="C1307"/>
  <c r="A1307"/>
  <c r="H1274"/>
  <c r="I1274"/>
  <c r="I1275"/>
  <c r="I1276"/>
  <c r="I1277"/>
  <c r="I1278"/>
  <c r="I1279"/>
  <c r="I1280"/>
  <c r="I1281"/>
  <c r="H1284"/>
  <c r="I1284" s="1"/>
  <c r="I1285" s="1"/>
  <c r="C1284"/>
  <c r="A1284"/>
  <c r="I1251"/>
  <c r="I1252"/>
  <c r="I1253"/>
  <c r="I1254"/>
  <c r="I1255"/>
  <c r="I1256"/>
  <c r="I1257"/>
  <c r="I1258"/>
  <c r="H1261"/>
  <c r="I1261" s="1"/>
  <c r="I1262" s="1"/>
  <c r="C1261"/>
  <c r="A1261"/>
  <c r="I1228"/>
  <c r="I1229"/>
  <c r="I1230"/>
  <c r="I1231"/>
  <c r="I1232"/>
  <c r="I1233"/>
  <c r="I1234"/>
  <c r="I1235"/>
  <c r="H1238"/>
  <c r="I1238"/>
  <c r="I1239" s="1"/>
  <c r="C1238"/>
  <c r="A1238"/>
  <c r="H1204"/>
  <c r="I1204"/>
  <c r="H1205"/>
  <c r="I1205"/>
  <c r="H1206"/>
  <c r="I1206"/>
  <c r="I1207"/>
  <c r="I1208"/>
  <c r="I1209"/>
  <c r="I1210"/>
  <c r="I1211"/>
  <c r="H1214"/>
  <c r="I1214" s="1"/>
  <c r="I1215" s="1"/>
  <c r="C1214"/>
  <c r="A1214"/>
  <c r="H1181"/>
  <c r="I1181"/>
  <c r="H1182"/>
  <c r="I1182"/>
  <c r="I1183"/>
  <c r="I1184"/>
  <c r="I1185"/>
  <c r="I1186"/>
  <c r="I1187"/>
  <c r="I1188"/>
  <c r="H1191"/>
  <c r="I1191" s="1"/>
  <c r="I1192" s="1"/>
  <c r="C1191"/>
  <c r="A1191"/>
  <c r="H1158"/>
  <c r="I1158"/>
  <c r="G1159"/>
  <c r="H1159"/>
  <c r="I1159"/>
  <c r="I1160"/>
  <c r="I1161"/>
  <c r="I1162"/>
  <c r="I1163"/>
  <c r="I1164"/>
  <c r="I1165"/>
  <c r="H1168"/>
  <c r="I1168" s="1"/>
  <c r="I1169" s="1"/>
  <c r="C1168"/>
  <c r="A1168"/>
  <c r="H1135"/>
  <c r="I1135"/>
  <c r="H1136"/>
  <c r="I1136"/>
  <c r="G1137"/>
  <c r="H1137"/>
  <c r="I1137"/>
  <c r="G1138"/>
  <c r="H1138"/>
  <c r="I1138"/>
  <c r="I1139"/>
  <c r="I1140"/>
  <c r="I1141"/>
  <c r="I1142"/>
  <c r="H1145"/>
  <c r="I1145" s="1"/>
  <c r="I1146" s="1"/>
  <c r="C1145"/>
  <c r="A1145"/>
  <c r="H1112"/>
  <c r="I1112"/>
  <c r="H1113"/>
  <c r="I1113"/>
  <c r="H1114"/>
  <c r="I1114"/>
  <c r="I1115"/>
  <c r="I1116"/>
  <c r="I1117"/>
  <c r="I1118"/>
  <c r="I1119"/>
  <c r="H1122"/>
  <c r="I1122" s="1"/>
  <c r="I1123" s="1"/>
  <c r="C1122"/>
  <c r="A1122"/>
  <c r="H1089"/>
  <c r="I1089"/>
  <c r="H1090"/>
  <c r="I1090"/>
  <c r="H1091"/>
  <c r="I1091"/>
  <c r="H1092"/>
  <c r="I1092"/>
  <c r="H1093"/>
  <c r="I1093"/>
  <c r="I1094"/>
  <c r="I1095"/>
  <c r="I1096"/>
  <c r="H1099"/>
  <c r="I1099"/>
  <c r="I1100" s="1"/>
  <c r="C1099"/>
  <c r="A1099"/>
  <c r="H1066"/>
  <c r="I1066"/>
  <c r="H1067"/>
  <c r="I1067"/>
  <c r="H1068"/>
  <c r="I1068"/>
  <c r="H1069"/>
  <c r="I1069"/>
  <c r="H1070"/>
  <c r="I1070"/>
  <c r="I1071"/>
  <c r="I1072"/>
  <c r="I1073"/>
  <c r="H1076"/>
  <c r="I1076" s="1"/>
  <c r="I1077" s="1"/>
  <c r="C1076"/>
  <c r="A1076"/>
  <c r="H1043"/>
  <c r="I1043"/>
  <c r="H1044"/>
  <c r="I1044"/>
  <c r="H1045"/>
  <c r="I1045"/>
  <c r="H1046"/>
  <c r="I1046"/>
  <c r="H1047"/>
  <c r="I1047"/>
  <c r="I1048"/>
  <c r="I1049"/>
  <c r="I1050"/>
  <c r="H1053"/>
  <c r="I1053" s="1"/>
  <c r="I1054" s="1"/>
  <c r="C1053"/>
  <c r="A1053"/>
  <c r="H1020"/>
  <c r="I1020"/>
  <c r="I1021"/>
  <c r="I1022"/>
  <c r="I1023"/>
  <c r="I1024"/>
  <c r="I1025"/>
  <c r="I1026"/>
  <c r="I1027"/>
  <c r="H1030"/>
  <c r="I1030" s="1"/>
  <c r="I1031" s="1"/>
  <c r="C1030"/>
  <c r="A1030"/>
  <c r="H997"/>
  <c r="I997"/>
  <c r="I998"/>
  <c r="I999"/>
  <c r="I1000"/>
  <c r="I1001"/>
  <c r="I1002"/>
  <c r="I1003"/>
  <c r="I1004"/>
  <c r="H1007"/>
  <c r="I1007" s="1"/>
  <c r="I1008" s="1"/>
  <c r="C1007"/>
  <c r="A1007"/>
  <c r="H974"/>
  <c r="I974"/>
  <c r="I975"/>
  <c r="I976"/>
  <c r="I977"/>
  <c r="I978"/>
  <c r="I979"/>
  <c r="I980"/>
  <c r="I981"/>
  <c r="H984"/>
  <c r="I984" s="1"/>
  <c r="I985" s="1"/>
  <c r="C984"/>
  <c r="A984"/>
  <c r="H951"/>
  <c r="I951"/>
  <c r="I952"/>
  <c r="I953"/>
  <c r="I954"/>
  <c r="I955"/>
  <c r="I956"/>
  <c r="I957"/>
  <c r="I958"/>
  <c r="H961"/>
  <c r="I961" s="1"/>
  <c r="I962" s="1"/>
  <c r="C961"/>
  <c r="A961"/>
  <c r="I928"/>
  <c r="I929"/>
  <c r="I930"/>
  <c r="I931"/>
  <c r="I932"/>
  <c r="I933"/>
  <c r="I934"/>
  <c r="I935"/>
  <c r="H938"/>
  <c r="I938" s="1"/>
  <c r="I939" s="1"/>
  <c r="C938"/>
  <c r="A938"/>
  <c r="H905"/>
  <c r="I905"/>
  <c r="H906"/>
  <c r="I906"/>
  <c r="H907"/>
  <c r="I907"/>
  <c r="H908"/>
  <c r="I908"/>
  <c r="I909"/>
  <c r="I910"/>
  <c r="I911"/>
  <c r="I912"/>
  <c r="H915"/>
  <c r="I915" s="1"/>
  <c r="I916" s="1"/>
  <c r="C915"/>
  <c r="A915"/>
  <c r="H882"/>
  <c r="I882"/>
  <c r="H883"/>
  <c r="I883"/>
  <c r="H884"/>
  <c r="I884"/>
  <c r="H885"/>
  <c r="I885"/>
  <c r="I886"/>
  <c r="I887"/>
  <c r="I888"/>
  <c r="I889"/>
  <c r="H892"/>
  <c r="I892" s="1"/>
  <c r="I893" s="1"/>
  <c r="C892"/>
  <c r="A892"/>
  <c r="H859"/>
  <c r="I859"/>
  <c r="H860"/>
  <c r="I860"/>
  <c r="H861"/>
  <c r="I861"/>
  <c r="H862"/>
  <c r="I862"/>
  <c r="H863"/>
  <c r="I863"/>
  <c r="H864"/>
  <c r="I864"/>
  <c r="I865"/>
  <c r="I866"/>
  <c r="H869"/>
  <c r="I869" s="1"/>
  <c r="I870" s="1"/>
  <c r="C869"/>
  <c r="A869"/>
  <c r="H835"/>
  <c r="I835"/>
  <c r="H836"/>
  <c r="I836"/>
  <c r="H837"/>
  <c r="I837"/>
  <c r="H838"/>
  <c r="I838"/>
  <c r="H839"/>
  <c r="I839"/>
  <c r="I840"/>
  <c r="I841"/>
  <c r="I842"/>
  <c r="H845"/>
  <c r="I845"/>
  <c r="I846" s="1"/>
  <c r="C845"/>
  <c r="A845"/>
  <c r="H812"/>
  <c r="I812"/>
  <c r="I813"/>
  <c r="H822"/>
  <c r="I822" s="1"/>
  <c r="I823" s="1"/>
  <c r="C822"/>
  <c r="A822"/>
  <c r="I790"/>
  <c r="I791"/>
  <c r="H800"/>
  <c r="I800" s="1"/>
  <c r="I801" s="1"/>
  <c r="C800"/>
  <c r="A800"/>
  <c r="H767"/>
  <c r="I767"/>
  <c r="H768"/>
  <c r="I768"/>
  <c r="H769"/>
  <c r="I769"/>
  <c r="H770"/>
  <c r="I770"/>
  <c r="H771"/>
  <c r="I771"/>
  <c r="H777"/>
  <c r="I777" s="1"/>
  <c r="I778" s="1"/>
  <c r="C777"/>
  <c r="A777"/>
  <c r="H745"/>
  <c r="I745"/>
  <c r="H746"/>
  <c r="I746"/>
  <c r="H747"/>
  <c r="I747"/>
  <c r="H748"/>
  <c r="I748"/>
  <c r="H749"/>
  <c r="I749"/>
  <c r="H750"/>
  <c r="I750"/>
  <c r="H754"/>
  <c r="I754" s="1"/>
  <c r="I756" s="1"/>
  <c r="H755"/>
  <c r="I755" s="1"/>
  <c r="C755"/>
  <c r="A755"/>
  <c r="C754"/>
  <c r="I722"/>
  <c r="I723"/>
  <c r="I724"/>
  <c r="I726"/>
  <c r="I727"/>
  <c r="H731"/>
  <c r="I731"/>
  <c r="I733" s="1"/>
  <c r="H732"/>
  <c r="I732" s="1"/>
  <c r="C732"/>
  <c r="A732"/>
  <c r="C731"/>
  <c r="H701"/>
  <c r="I701"/>
  <c r="H702"/>
  <c r="I702"/>
  <c r="H703"/>
  <c r="I703"/>
  <c r="H704"/>
  <c r="I704"/>
  <c r="H705"/>
  <c r="I705"/>
  <c r="H706"/>
  <c r="I706"/>
  <c r="H710"/>
  <c r="I710"/>
  <c r="H711"/>
  <c r="I711" s="1"/>
  <c r="C711"/>
  <c r="A711"/>
  <c r="C710"/>
  <c r="H678"/>
  <c r="I678"/>
  <c r="I679"/>
  <c r="I680"/>
  <c r="I681"/>
  <c r="I682"/>
  <c r="H687"/>
  <c r="I687" s="1"/>
  <c r="H688"/>
  <c r="I688" s="1"/>
  <c r="C688"/>
  <c r="A688"/>
  <c r="C687"/>
  <c r="I656"/>
  <c r="I657"/>
  <c r="I658"/>
  <c r="I659"/>
  <c r="I660"/>
  <c r="H665"/>
  <c r="I665" s="1"/>
  <c r="I667" s="1"/>
  <c r="H666"/>
  <c r="I666" s="1"/>
  <c r="C666"/>
  <c r="A666"/>
  <c r="C665"/>
  <c r="E633"/>
  <c r="E634"/>
  <c r="E635"/>
  <c r="E636"/>
  <c r="E637"/>
  <c r="E638"/>
  <c r="E639"/>
  <c r="D642"/>
  <c r="E642" s="1"/>
  <c r="D643"/>
  <c r="E643" s="1"/>
  <c r="C643"/>
  <c r="A643"/>
  <c r="C642"/>
  <c r="H610"/>
  <c r="I610"/>
  <c r="H611"/>
  <c r="I611"/>
  <c r="H612"/>
  <c r="I612"/>
  <c r="H613"/>
  <c r="I613"/>
  <c r="H614"/>
  <c r="I614"/>
  <c r="H615"/>
  <c r="I615"/>
  <c r="I616"/>
  <c r="I617"/>
  <c r="H619"/>
  <c r="I619" s="1"/>
  <c r="I621" s="1"/>
  <c r="H620"/>
  <c r="I620" s="1"/>
  <c r="C620"/>
  <c r="A620"/>
  <c r="C619"/>
  <c r="I586"/>
  <c r="I587"/>
  <c r="I588"/>
  <c r="I589"/>
  <c r="I590"/>
  <c r="I591"/>
  <c r="I592"/>
  <c r="I593"/>
  <c r="H595"/>
  <c r="I595"/>
  <c r="H596"/>
  <c r="I596" s="1"/>
  <c r="C596"/>
  <c r="A596"/>
  <c r="C595"/>
  <c r="H563"/>
  <c r="I563"/>
  <c r="H564"/>
  <c r="I564"/>
  <c r="H565"/>
  <c r="I565"/>
  <c r="I566"/>
  <c r="I567"/>
  <c r="I568"/>
  <c r="I569"/>
  <c r="I570"/>
  <c r="H572"/>
  <c r="I572" s="1"/>
  <c r="H573"/>
  <c r="I573" s="1"/>
  <c r="C573"/>
  <c r="A573"/>
  <c r="C572"/>
  <c r="I540"/>
  <c r="I541"/>
  <c r="I542"/>
  <c r="I543"/>
  <c r="I544"/>
  <c r="I545"/>
  <c r="I546"/>
  <c r="I547"/>
  <c r="H549"/>
  <c r="I549" s="1"/>
  <c r="I551" s="1"/>
  <c r="H550"/>
  <c r="I550" s="1"/>
  <c r="C550"/>
  <c r="A550"/>
  <c r="C549"/>
  <c r="H517"/>
  <c r="I517"/>
  <c r="H518"/>
  <c r="I518"/>
  <c r="H519"/>
  <c r="I519"/>
  <c r="H520"/>
  <c r="I520"/>
  <c r="H521"/>
  <c r="I521"/>
  <c r="H522"/>
  <c r="I522"/>
  <c r="H523"/>
  <c r="I523"/>
  <c r="H524"/>
  <c r="I524"/>
  <c r="H526"/>
  <c r="I526" s="1"/>
  <c r="I528" s="1"/>
  <c r="H527"/>
  <c r="I527" s="1"/>
  <c r="C527"/>
  <c r="A527"/>
  <c r="C526"/>
  <c r="E493"/>
  <c r="E494"/>
  <c r="E495"/>
  <c r="E496"/>
  <c r="E497"/>
  <c r="E498"/>
  <c r="E499"/>
  <c r="D502"/>
  <c r="E502" s="1"/>
  <c r="E504" s="1"/>
  <c r="D503"/>
  <c r="E503"/>
  <c r="C503"/>
  <c r="A503"/>
  <c r="C502"/>
  <c r="H470"/>
  <c r="I470"/>
  <c r="H471"/>
  <c r="I471"/>
  <c r="H472"/>
  <c r="I472"/>
  <c r="H473"/>
  <c r="I473"/>
  <c r="H474"/>
  <c r="I474"/>
  <c r="H475"/>
  <c r="I475"/>
  <c r="H476"/>
  <c r="I476"/>
  <c r="H477"/>
  <c r="I477"/>
  <c r="H479"/>
  <c r="I479" s="1"/>
  <c r="I481" s="1"/>
  <c r="H480"/>
  <c r="I480"/>
  <c r="C480"/>
  <c r="A480"/>
  <c r="C479"/>
  <c r="H446"/>
  <c r="I446"/>
  <c r="H447"/>
  <c r="I447"/>
  <c r="H448"/>
  <c r="I448"/>
  <c r="H449"/>
  <c r="I449"/>
  <c r="H450"/>
  <c r="I450"/>
  <c r="H451"/>
  <c r="I451"/>
  <c r="H452"/>
  <c r="I452"/>
  <c r="H453"/>
  <c r="I453"/>
  <c r="H455"/>
  <c r="I455" s="1"/>
  <c r="H456"/>
  <c r="I456"/>
  <c r="C456"/>
  <c r="A456"/>
  <c r="C455"/>
  <c r="I426"/>
  <c r="H427"/>
  <c r="I427"/>
  <c r="H428"/>
  <c r="I428"/>
  <c r="H429"/>
  <c r="I429"/>
  <c r="H430"/>
  <c r="I430"/>
  <c r="H431"/>
  <c r="I431"/>
  <c r="H432"/>
  <c r="I432"/>
  <c r="H433"/>
  <c r="I433"/>
  <c r="H435"/>
  <c r="I435" s="1"/>
  <c r="H436"/>
  <c r="I436" s="1"/>
  <c r="C436"/>
  <c r="A436"/>
  <c r="C435"/>
  <c r="E403"/>
  <c r="E404"/>
  <c r="E405"/>
  <c r="E406"/>
  <c r="E407"/>
  <c r="E408"/>
  <c r="E409"/>
  <c r="D412"/>
  <c r="E412"/>
  <c r="D413"/>
  <c r="E413" s="1"/>
  <c r="C413"/>
  <c r="A413"/>
  <c r="C412"/>
  <c r="E380"/>
  <c r="E381"/>
  <c r="E382"/>
  <c r="E383"/>
  <c r="E384"/>
  <c r="E385"/>
  <c r="E386"/>
  <c r="E387"/>
  <c r="E388"/>
  <c r="D389"/>
  <c r="E389" s="1"/>
  <c r="D390"/>
  <c r="E390"/>
  <c r="C390"/>
  <c r="C389"/>
  <c r="E357"/>
  <c r="E358"/>
  <c r="E359"/>
  <c r="E360"/>
  <c r="E361"/>
  <c r="E362"/>
  <c r="E363"/>
  <c r="E364"/>
  <c r="E365"/>
  <c r="D366"/>
  <c r="E366" s="1"/>
  <c r="D367"/>
  <c r="E367" s="1"/>
  <c r="C367"/>
  <c r="C366"/>
  <c r="D334"/>
  <c r="E334"/>
  <c r="D335"/>
  <c r="E335"/>
  <c r="D336"/>
  <c r="E336"/>
  <c r="D337"/>
  <c r="E337"/>
  <c r="D338"/>
  <c r="E338"/>
  <c r="D339"/>
  <c r="E339" s="1"/>
  <c r="E345" s="1"/>
  <c r="E340"/>
  <c r="E341"/>
  <c r="E342"/>
  <c r="D343"/>
  <c r="E343" s="1"/>
  <c r="D344"/>
  <c r="E344"/>
  <c r="C344"/>
  <c r="C343"/>
  <c r="C339"/>
  <c r="E311"/>
  <c r="E312"/>
  <c r="D313"/>
  <c r="E313" s="1"/>
  <c r="D314"/>
  <c r="E314" s="1"/>
  <c r="D315"/>
  <c r="E315"/>
  <c r="D316"/>
  <c r="E316" s="1"/>
  <c r="D317"/>
  <c r="E317" s="1"/>
  <c r="D318"/>
  <c r="E318" s="1"/>
  <c r="D319"/>
  <c r="E319" s="1"/>
  <c r="D320"/>
  <c r="E320" s="1"/>
  <c r="D321"/>
  <c r="E321" s="1"/>
  <c r="C321"/>
  <c r="C320"/>
  <c r="C319"/>
  <c r="C318"/>
  <c r="C317"/>
  <c r="C316"/>
  <c r="E288"/>
  <c r="E289"/>
  <c r="D290"/>
  <c r="E290" s="1"/>
  <c r="D291"/>
  <c r="E291" s="1"/>
  <c r="D292"/>
  <c r="E292" s="1"/>
  <c r="D293"/>
  <c r="E293" s="1"/>
  <c r="D294"/>
  <c r="E294" s="1"/>
  <c r="D295"/>
  <c r="E295" s="1"/>
  <c r="D296"/>
  <c r="E296"/>
  <c r="D297"/>
  <c r="E297" s="1"/>
  <c r="D298"/>
  <c r="E298" s="1"/>
  <c r="C298"/>
  <c r="C297"/>
  <c r="C296"/>
  <c r="C295"/>
  <c r="C294"/>
  <c r="C293"/>
  <c r="C292"/>
  <c r="C291"/>
  <c r="C290"/>
  <c r="D265"/>
  <c r="E265"/>
  <c r="D266"/>
  <c r="E266"/>
  <c r="D267"/>
  <c r="E267"/>
  <c r="D268"/>
  <c r="E268"/>
  <c r="D271"/>
  <c r="E271" s="1"/>
  <c r="D272"/>
  <c r="E272" s="1"/>
  <c r="D273"/>
  <c r="E273" s="1"/>
  <c r="D274"/>
  <c r="E274" s="1"/>
  <c r="D275"/>
  <c r="E275"/>
  <c r="C275"/>
  <c r="C274"/>
  <c r="C273"/>
  <c r="C272"/>
  <c r="C271"/>
  <c r="D270"/>
  <c r="C270"/>
  <c r="D269"/>
  <c r="D243"/>
  <c r="E243" s="1"/>
  <c r="D244"/>
  <c r="E244"/>
  <c r="D245"/>
  <c r="E245" s="1"/>
  <c r="D246"/>
  <c r="E246"/>
  <c r="D247"/>
  <c r="E247" s="1"/>
  <c r="D248"/>
  <c r="E248"/>
  <c r="D249"/>
  <c r="E249" s="1"/>
  <c r="D250"/>
  <c r="E250"/>
  <c r="D251"/>
  <c r="E251" s="1"/>
  <c r="C251"/>
  <c r="C250"/>
  <c r="C249"/>
  <c r="C248"/>
  <c r="C247"/>
  <c r="C246"/>
  <c r="C245"/>
  <c r="C242"/>
  <c r="C241"/>
  <c r="D217"/>
  <c r="E217"/>
  <c r="D218"/>
  <c r="E218"/>
  <c r="D219"/>
  <c r="E219"/>
  <c r="D220"/>
  <c r="E220"/>
  <c r="D221"/>
  <c r="E221"/>
  <c r="D222"/>
  <c r="E222"/>
  <c r="D223"/>
  <c r="E223" s="1"/>
  <c r="D224"/>
  <c r="E224" s="1"/>
  <c r="D225"/>
  <c r="E225" s="1"/>
  <c r="D226"/>
  <c r="E226" s="1"/>
  <c r="D227"/>
  <c r="E227" s="1"/>
  <c r="C227"/>
  <c r="C226"/>
  <c r="C225"/>
  <c r="C224"/>
  <c r="C223"/>
  <c r="D194"/>
  <c r="E194" s="1"/>
  <c r="E205" s="1"/>
  <c r="D204"/>
  <c r="E204" s="1"/>
  <c r="C204"/>
  <c r="D203"/>
  <c r="E203" s="1"/>
  <c r="C203"/>
  <c r="D202"/>
  <c r="E202" s="1"/>
  <c r="C202"/>
  <c r="D201"/>
  <c r="E201" s="1"/>
  <c r="C201"/>
  <c r="D200"/>
  <c r="E200" s="1"/>
  <c r="C200"/>
  <c r="D199"/>
  <c r="E199" s="1"/>
  <c r="C199"/>
  <c r="E198"/>
  <c r="E197"/>
  <c r="E196"/>
  <c r="D195"/>
  <c r="E195" s="1"/>
  <c r="C195"/>
  <c r="C194"/>
  <c r="J190"/>
  <c r="D170"/>
  <c r="E170" s="1"/>
  <c r="E181" s="1"/>
  <c r="D180"/>
  <c r="E180" s="1"/>
  <c r="C180"/>
  <c r="D179"/>
  <c r="E179" s="1"/>
  <c r="C179"/>
  <c r="D178"/>
  <c r="E178" s="1"/>
  <c r="C178"/>
  <c r="D177"/>
  <c r="E177" s="1"/>
  <c r="C177"/>
  <c r="D176"/>
  <c r="E176" s="1"/>
  <c r="C176"/>
  <c r="D175"/>
  <c r="E175" s="1"/>
  <c r="C175"/>
  <c r="D174"/>
  <c r="E174"/>
  <c r="C174"/>
  <c r="D173"/>
  <c r="E173" s="1"/>
  <c r="C173"/>
  <c r="D172"/>
  <c r="E172" s="1"/>
  <c r="C172"/>
  <c r="D171"/>
  <c r="E171" s="1"/>
  <c r="C171"/>
  <c r="C170"/>
  <c r="D146"/>
  <c r="E146"/>
  <c r="D147"/>
  <c r="E147"/>
  <c r="D148"/>
  <c r="E148"/>
  <c r="D149"/>
  <c r="E149"/>
  <c r="D150"/>
  <c r="E150"/>
  <c r="D151"/>
  <c r="E151"/>
  <c r="D152"/>
  <c r="E152"/>
  <c r="D153"/>
  <c r="E153"/>
  <c r="D156"/>
  <c r="E156" s="1"/>
  <c r="E157" s="1"/>
  <c r="C156"/>
  <c r="D155"/>
  <c r="D154"/>
  <c r="E123"/>
  <c r="E124"/>
  <c r="E125"/>
  <c r="E126"/>
  <c r="E127"/>
  <c r="D130"/>
  <c r="E130"/>
  <c r="D131"/>
  <c r="E131" s="1"/>
  <c r="D132"/>
  <c r="E132" s="1"/>
  <c r="D133"/>
  <c r="E133" s="1"/>
  <c r="C133"/>
  <c r="C132"/>
  <c r="D129"/>
  <c r="E101"/>
  <c r="E102"/>
  <c r="E103"/>
  <c r="E104"/>
  <c r="E105"/>
  <c r="D107"/>
  <c r="E107" s="1"/>
  <c r="D108"/>
  <c r="E108" s="1"/>
  <c r="D109"/>
  <c r="E109" s="1"/>
  <c r="D110"/>
  <c r="E110" s="1"/>
  <c r="C110"/>
  <c r="C109"/>
  <c r="D106"/>
  <c r="E77"/>
  <c r="D83"/>
  <c r="E83" s="1"/>
  <c r="D84"/>
  <c r="E84" s="1"/>
  <c r="D85"/>
  <c r="E85" s="1"/>
  <c r="D86"/>
  <c r="E86"/>
  <c r="D87"/>
  <c r="E87" s="1"/>
  <c r="C87"/>
  <c r="C86"/>
  <c r="C85"/>
  <c r="A54"/>
  <c r="E54"/>
  <c r="E55"/>
  <c r="E56"/>
  <c r="E57"/>
  <c r="E58"/>
  <c r="E59"/>
  <c r="D60"/>
  <c r="E60" s="1"/>
  <c r="D61"/>
  <c r="E61" s="1"/>
  <c r="D62"/>
  <c r="E62"/>
  <c r="D63"/>
  <c r="E63" s="1"/>
  <c r="D64"/>
  <c r="E64" s="1"/>
  <c r="C64"/>
  <c r="C63"/>
  <c r="C62"/>
  <c r="E31"/>
  <c r="E32"/>
  <c r="E33"/>
  <c r="E34"/>
  <c r="E35"/>
  <c r="D37"/>
  <c r="E37" s="1"/>
  <c r="D38"/>
  <c r="E38" s="1"/>
  <c r="D39"/>
  <c r="E39" s="1"/>
  <c r="D40"/>
  <c r="E40" s="1"/>
  <c r="D41"/>
  <c r="E41" s="1"/>
  <c r="C41"/>
  <c r="C40"/>
  <c r="C39"/>
  <c r="D36"/>
  <c r="E8"/>
  <c r="E9"/>
  <c r="E10"/>
  <c r="E11"/>
  <c r="D13"/>
  <c r="E13" s="1"/>
  <c r="D14"/>
  <c r="E14" s="1"/>
  <c r="D15"/>
  <c r="E15" s="1"/>
  <c r="D16"/>
  <c r="E16"/>
  <c r="D17"/>
  <c r="E17" s="1"/>
  <c r="D18"/>
  <c r="E18" s="1"/>
  <c r="C18"/>
  <c r="C17"/>
  <c r="C16"/>
  <c r="I368" i="8"/>
  <c r="F1045" l="1"/>
  <c r="E228" i="3"/>
  <c r="E65"/>
  <c r="E19"/>
  <c r="E88"/>
  <c r="E276"/>
  <c r="E644"/>
  <c r="I689"/>
  <c r="E252"/>
  <c r="E299"/>
  <c r="E391"/>
  <c r="I457"/>
  <c r="E368"/>
  <c r="E414"/>
  <c r="I574"/>
  <c r="I597"/>
  <c r="E42"/>
  <c r="E134"/>
  <c r="I712"/>
  <c r="E111"/>
  <c r="E322"/>
  <c r="I437"/>
  <c r="E2135"/>
  <c r="I358" i="8"/>
  <c r="I370"/>
  <c r="E2097" i="3"/>
  <c r="I393" i="8"/>
  <c r="I390"/>
  <c r="I352"/>
  <c r="I385"/>
  <c r="I377"/>
  <c r="E2059" i="3"/>
  <c r="E2116"/>
  <c r="E14" i="9"/>
  <c r="E2154" i="3"/>
  <c r="E2040"/>
  <c r="E2078"/>
  <c r="I373" i="8"/>
  <c r="I1045" l="1"/>
  <c r="F1046" s="1"/>
</calcChain>
</file>

<file path=xl/sharedStrings.xml><?xml version="1.0" encoding="utf-8"?>
<sst xmlns="http://schemas.openxmlformats.org/spreadsheetml/2006/main" count="4425" uniqueCount="342">
  <si>
    <t>UD DUNIA KASUR</t>
  </si>
  <si>
    <t xml:space="preserve">Alamat : </t>
  </si>
  <si>
    <t>Jl. Balai Desa Jatirejo, Jatirejo - Diwek - Jombang</t>
  </si>
  <si>
    <t>sumobito</t>
  </si>
  <si>
    <t>RT / RW : 02/04 Ploso Santren - Ploso Kerep</t>
  </si>
  <si>
    <t xml:space="preserve">kepada Yth : </t>
  </si>
  <si>
    <t>bastomi</t>
  </si>
  <si>
    <t>Sumobito Jombang</t>
  </si>
  <si>
    <t>website :</t>
  </si>
  <si>
    <t>www.pusatkasur.com</t>
  </si>
  <si>
    <t xml:space="preserve">pengirim </t>
  </si>
  <si>
    <t>-</t>
  </si>
  <si>
    <t>telpon :</t>
  </si>
  <si>
    <t>0852 3069 4293 / 0858 5300 5902</t>
  </si>
  <si>
    <t>kendaraan/no</t>
  </si>
  <si>
    <t>BANYAKNYA</t>
  </si>
  <si>
    <t>NAMA BARANG</t>
  </si>
  <si>
    <t>HARGA</t>
  </si>
  <si>
    <t>JUMLAH</t>
  </si>
  <si>
    <t>PALEMBANG UKURAN 80</t>
  </si>
  <si>
    <t>PALEMBANG UKURAN 100</t>
  </si>
  <si>
    <t>PALEMBANG UKURAN 120</t>
  </si>
  <si>
    <t>PALEMBANG UKURAN 140</t>
  </si>
  <si>
    <t>TOTAL</t>
  </si>
  <si>
    <t>pemesan,</t>
  </si>
  <si>
    <t>hormat kami</t>
  </si>
  <si>
    <t>(___________________)</t>
  </si>
  <si>
    <t xml:space="preserve">            (____________________)</t>
  </si>
  <si>
    <t>PAK MUL</t>
  </si>
  <si>
    <t>NGUMPUL</t>
  </si>
  <si>
    <t>DAKRON LIPAT 3 UKR 120 X 5</t>
  </si>
  <si>
    <t>DAKRON LIPAT UKR 140 X5</t>
  </si>
  <si>
    <t xml:space="preserve">DAKRON KILOAN </t>
  </si>
  <si>
    <t>LIPAT 3 UKURAN 90</t>
  </si>
  <si>
    <t>LIPAT 3 UKURAN 120</t>
  </si>
  <si>
    <t>LIPAT 3 UKURAN 140</t>
  </si>
  <si>
    <t>PALEMBANG UK 140</t>
  </si>
  <si>
    <t>PALEMBANG UK 120</t>
  </si>
  <si>
    <t>sillikon kiloan</t>
  </si>
  <si>
    <t>PAK MOL</t>
  </si>
  <si>
    <t>DAKRON LIPAT 3 UKR 140 X 5</t>
  </si>
  <si>
    <t>M</t>
  </si>
  <si>
    <t>ABA MAHFUD JANTI</t>
  </si>
  <si>
    <t xml:space="preserve">DAKN SELIMUT 120 </t>
  </si>
  <si>
    <t xml:space="preserve">DAKN SELIMUT 140 </t>
  </si>
  <si>
    <t xml:space="preserve">DAKN SELIMUT 90 </t>
  </si>
  <si>
    <t>SARUNG BUSA 75</t>
  </si>
  <si>
    <t>SARUNG BUSA 160 X 14 X 200 KAIN DISPERSE</t>
  </si>
  <si>
    <t>ABA MAHFUD</t>
  </si>
  <si>
    <t>JANTI</t>
  </si>
  <si>
    <t>D22 UKURAN 120 X 20 X 200</t>
  </si>
  <si>
    <t>D22 UKURAN 140 X 20 X 200</t>
  </si>
  <si>
    <t>D22 UKURAN 150 X 20 X 200</t>
  </si>
  <si>
    <t>D22 UKURAN 160 X 20 X 200</t>
  </si>
  <si>
    <t>D22 UKURAN 180 X 20 X 200</t>
  </si>
  <si>
    <t>D22 UKURAN 120 X 15 X 200</t>
  </si>
  <si>
    <t>D22 UKURAN 140 X 15 X 200</t>
  </si>
  <si>
    <t>D22 UKURAN 100 X 20 X 200</t>
  </si>
  <si>
    <t>TITIP</t>
  </si>
  <si>
    <t>BANTAL</t>
  </si>
  <si>
    <t>GULING</t>
  </si>
  <si>
    <t>PERMADANI UK 210 X 310</t>
  </si>
  <si>
    <t>SILIKON</t>
  </si>
  <si>
    <t>LUNAS</t>
  </si>
  <si>
    <t>BANTAL SILIKON BESAR</t>
  </si>
  <si>
    <t>EVA 120</t>
  </si>
  <si>
    <t>DAKRON SELIMUT    UKURAN 140 X 10</t>
  </si>
  <si>
    <t>PERMADANI 160 X 210</t>
  </si>
  <si>
    <t>BUSA D 22 UKR 120  X 20 X 200</t>
  </si>
  <si>
    <t>BUSA D 22 UKR 140 X 20 X 200</t>
  </si>
  <si>
    <t>BUSA D 22 UKR 150 X 20 X 200</t>
  </si>
  <si>
    <t>BUSA D 22 UKR 160 X 20 X 200</t>
  </si>
  <si>
    <t>BUSA D 22 UKR 180 X 20 X 200</t>
  </si>
  <si>
    <t>BUSA D 22 UKR 140 X 30 X 200</t>
  </si>
  <si>
    <t>EVA 140</t>
  </si>
  <si>
    <t>DAKRON SELIMUT UKR 120 X 10</t>
  </si>
  <si>
    <t>DAKRON SELIMUT UKR 140 X 10</t>
  </si>
  <si>
    <t>RASFUR UKR 120 X 5</t>
  </si>
  <si>
    <t>LIPAT 3 UKR 120 X 5</t>
  </si>
  <si>
    <t>LIPAT 3 UKR 140 X 5</t>
  </si>
  <si>
    <t xml:space="preserve">RASFUR UKURAN 120 </t>
  </si>
  <si>
    <t>PANJANG</t>
  </si>
  <si>
    <t>LEBAR</t>
  </si>
  <si>
    <t>TEBAL</t>
  </si>
  <si>
    <t>KUBIK</t>
  </si>
  <si>
    <t>SATUAN</t>
  </si>
  <si>
    <t>TIKAR EVA 140</t>
  </si>
  <si>
    <t>BUSA D22 UKURAN 100 X 15 X 200</t>
  </si>
  <si>
    <t>BUSA D22 UKURAN 150 X 15 X 200</t>
  </si>
  <si>
    <t>BUSA D22 UKURAN 100 X 20 X 200</t>
  </si>
  <si>
    <t>BUSA D22 UKURAN 150 X 20 X 200</t>
  </si>
  <si>
    <t>BUSA D22 UKURAN 180 X 20 X 200</t>
  </si>
  <si>
    <t>BUSA D22 UKURAN 200 X 20 X 200</t>
  </si>
  <si>
    <t>BUSA D13 UKURAN 90 X 5 X 180</t>
  </si>
  <si>
    <t>BUSA D22 UKURAN 120 X 20 X 200</t>
  </si>
  <si>
    <t>GULING KNITING</t>
  </si>
  <si>
    <t>KASUR SELIMUT UKR 120 X 10</t>
  </si>
  <si>
    <t>KASUR SELIMUT UKR 140 X 10</t>
  </si>
  <si>
    <t>KASUR SELIMUT UK 120 X 10 X 180</t>
  </si>
  <si>
    <t>KASUR SELIMUT UK 140 X 10 X 180</t>
  </si>
  <si>
    <t>D22</t>
  </si>
  <si>
    <t>RASFUR UK 120</t>
  </si>
  <si>
    <t>SHIMANO</t>
  </si>
  <si>
    <t>EVA</t>
  </si>
  <si>
    <t>D22 YELLWO ROYAL FOAM</t>
  </si>
  <si>
    <t>\</t>
  </si>
  <si>
    <t>SELIMUT 120 X 10</t>
  </si>
  <si>
    <t>SELIMUT 140 X 10</t>
  </si>
  <si>
    <t>GULING  KNITING</t>
  </si>
  <si>
    <t>SM 4 (DENSITI 22 SERIM)</t>
  </si>
  <si>
    <t>D22 ROYAL</t>
  </si>
  <si>
    <t xml:space="preserve">KASUR SELIMUT </t>
  </si>
  <si>
    <t>PERMADANI</t>
  </si>
  <si>
    <t xml:space="preserve">KASUR SELIMUT UK 120 </t>
  </si>
  <si>
    <t>D22 YLLW</t>
  </si>
  <si>
    <t>PERMADANI 210 X 310</t>
  </si>
  <si>
    <t>KASUR SELIMUT UK 120</t>
  </si>
  <si>
    <t>kasur selimut uk 120 x 10</t>
  </si>
  <si>
    <t>SELIMUT UK 140</t>
  </si>
  <si>
    <t xml:space="preserve">d16 </t>
  </si>
  <si>
    <t xml:space="preserve">BANTAL KNITTING </t>
  </si>
  <si>
    <t>d16  YLLW</t>
  </si>
  <si>
    <t>BUSA SELIMUT UK 90 X 10</t>
  </si>
  <si>
    <t>BUSA SELIMUT UK 120 X 10</t>
  </si>
  <si>
    <t>BUSA SELIMUT UK 140 X 10</t>
  </si>
  <si>
    <t>BANTAL KNITTING</t>
  </si>
  <si>
    <t>GULING KNITTING</t>
  </si>
  <si>
    <t>d22</t>
  </si>
  <si>
    <t>KASUR SELIMUT UK 140</t>
  </si>
  <si>
    <t>MAS PENDIK</t>
  </si>
  <si>
    <t>WATUGALUH</t>
  </si>
  <si>
    <t>ROYAL D22</t>
  </si>
  <si>
    <t>SELIMUT UK 90</t>
  </si>
  <si>
    <t>SELIMUT UK 120</t>
  </si>
  <si>
    <t xml:space="preserve">D22 </t>
  </si>
  <si>
    <t>EVA UK 120</t>
  </si>
  <si>
    <t>EVA UK 140</t>
  </si>
  <si>
    <t>TAMBAR</t>
  </si>
  <si>
    <t>BUSA D22</t>
  </si>
  <si>
    <t>ud. Dunia kasur</t>
  </si>
  <si>
    <t>Alamat</t>
  </si>
  <si>
    <t>MAS IWAN</t>
  </si>
  <si>
    <t>SIDOARJO</t>
  </si>
  <si>
    <t>Surpet 100x160</t>
  </si>
  <si>
    <t xml:space="preserve">  </t>
  </si>
  <si>
    <t>Penerima</t>
  </si>
  <si>
    <t>Hormat Kami</t>
  </si>
  <si>
    <t>(____________________)</t>
  </si>
  <si>
    <t>KASUR SURPET</t>
  </si>
  <si>
    <t>SURAT JALAN</t>
  </si>
  <si>
    <t>ABAH MAHFUD</t>
  </si>
  <si>
    <t>BUSA D22 UKURAN 140 X 20 X 200</t>
  </si>
  <si>
    <t>TGL NOTA</t>
  </si>
  <si>
    <t>ITEM</t>
  </si>
  <si>
    <t>NOMINAL NOTA</t>
  </si>
  <si>
    <t>TGL TITIP</t>
  </si>
  <si>
    <t>NOMINAL</t>
  </si>
  <si>
    <t>KETEREANGAN</t>
  </si>
  <si>
    <t>KIRIMAN NOTA LAMA</t>
  </si>
  <si>
    <t>TF SRPET, SJDH, SPNBN, RSFUR</t>
  </si>
  <si>
    <t>SURPET 220 PCS</t>
  </si>
  <si>
    <t xml:space="preserve">TF SURPET </t>
  </si>
  <si>
    <t>KAIN RASFUR (1.485,5 y)</t>
  </si>
  <si>
    <t>RETUR KAIN RASFUR 3 ROL 165 Y</t>
  </si>
  <si>
    <t>SPONBON 9 ROL</t>
  </si>
  <si>
    <t>SURPET 424 PCS</t>
  </si>
  <si>
    <t>SAJADAH 136 PCS</t>
  </si>
  <si>
    <t>SURPET 210 PCS</t>
  </si>
  <si>
    <t>SURPET 93 PCS</t>
  </si>
  <si>
    <t>TF SRPET, SJDH, BNTL POL</t>
  </si>
  <si>
    <t>SURPET 468 PCS</t>
  </si>
  <si>
    <t>SURPET 240 PCS</t>
  </si>
  <si>
    <t>SURPET 230 PCS</t>
  </si>
  <si>
    <t>TF SURPET RASFUR</t>
  </si>
  <si>
    <t>SURPET 524 PCS</t>
  </si>
  <si>
    <t>TF SURPET</t>
  </si>
  <si>
    <t>SURPET 516 PCS</t>
  </si>
  <si>
    <t>SURPET 560 PCS</t>
  </si>
  <si>
    <t>BEDA NOTA LAMA 215,847,450</t>
  </si>
  <si>
    <t>TF SURPET POLOS</t>
  </si>
  <si>
    <t>SURPET 195 PCS</t>
  </si>
  <si>
    <t>TAS SAJADAH 35 PCS</t>
  </si>
  <si>
    <t>BANTAL POLKADOT 200 PCS</t>
  </si>
  <si>
    <t>KAIN RASFUR (1.007 y)</t>
  </si>
  <si>
    <t>SPONBON 13 ROL</t>
  </si>
  <si>
    <t>SURPET 355 PCS</t>
  </si>
  <si>
    <t>SURPET 410 PCS</t>
  </si>
  <si>
    <t>SURPET 590 PCS</t>
  </si>
  <si>
    <t>KAIN RASFUR (195 y)</t>
  </si>
  <si>
    <t>SURPET 946 PCS</t>
  </si>
  <si>
    <t>SURPET 625 PCS</t>
  </si>
  <si>
    <t>SURPET 80 PCS</t>
  </si>
  <si>
    <t>KAIN RASFUR (1823,5 Y)</t>
  </si>
  <si>
    <t>SPONBON 30 ROL</t>
  </si>
  <si>
    <t>SURPET 245 PCS</t>
  </si>
  <si>
    <t>SURPET 235 PCS</t>
  </si>
  <si>
    <t>SURPET POLOS 222 PCS</t>
  </si>
  <si>
    <t>SUEPET POLOS 219 PCS</t>
  </si>
  <si>
    <t>SURPET POLOS 574 PCS</t>
  </si>
  <si>
    <t>SURPET POLOS 220 PCS</t>
  </si>
  <si>
    <t>SURPET POLOS 311 PCS</t>
  </si>
  <si>
    <t>BEDA NOTA LAMA 225,579,300</t>
  </si>
  <si>
    <t>RASFUR TURUN JBG (2129,5 Y)</t>
  </si>
  <si>
    <t>RASFUR TURUN G.NILAM (4536,5 Y)</t>
  </si>
  <si>
    <t>SURPET POLOS 388 PCS</t>
  </si>
  <si>
    <t>SURPET POLOS 572 PCS</t>
  </si>
  <si>
    <t>SURPET POLOS 300 PCS</t>
  </si>
  <si>
    <t>KAIN RASFUR (3099 Y)</t>
  </si>
  <si>
    <t>SURPET POLOS 257 PCS</t>
  </si>
  <si>
    <t>SURPET 584 PCS</t>
  </si>
  <si>
    <t>SPONBON 40 ROL 40 GSM</t>
  </si>
  <si>
    <t xml:space="preserve">SURPET POLOS 200 PCS </t>
  </si>
  <si>
    <t>SPONBON GSM 40 (13 ROL)</t>
  </si>
  <si>
    <t>SPONBON GSM 40 (2 ROL)</t>
  </si>
  <si>
    <t>KEKURANGAN</t>
  </si>
  <si>
    <t>KETERANGAN</t>
  </si>
  <si>
    <t>BARANG</t>
  </si>
  <si>
    <t>KEKURANGAN SEBELUMNYA</t>
  </si>
  <si>
    <t>TRANSFER</t>
  </si>
  <si>
    <t>SURPET UK 100X160</t>
  </si>
  <si>
    <t>SAJADAH RASFUR</t>
  </si>
  <si>
    <t>15/12/2022</t>
  </si>
  <si>
    <t>BANTAL FDL</t>
  </si>
  <si>
    <t>20/12/2022</t>
  </si>
  <si>
    <t>GULING FDL</t>
  </si>
  <si>
    <t>27/12/2022</t>
  </si>
  <si>
    <t>SURPET UK 160X200</t>
  </si>
  <si>
    <t>13/12/2022</t>
  </si>
  <si>
    <t>17/01/2023</t>
  </si>
  <si>
    <t>20/01/2023</t>
  </si>
  <si>
    <t>14/12/2022</t>
  </si>
  <si>
    <t>21/01/2023</t>
  </si>
  <si>
    <t>16/12/2022</t>
  </si>
  <si>
    <t>23/01/2023</t>
  </si>
  <si>
    <t>24/01/2023</t>
  </si>
  <si>
    <t>26/12/2022</t>
  </si>
  <si>
    <t>25/01/2023</t>
  </si>
  <si>
    <t>28/01/2023</t>
  </si>
  <si>
    <t>31/01/2023</t>
  </si>
  <si>
    <t>28/12/2022</t>
  </si>
  <si>
    <t>29/12/2022</t>
  </si>
  <si>
    <t>13/2/2023</t>
  </si>
  <si>
    <t>15/2/2023</t>
  </si>
  <si>
    <t>17/2/2023</t>
  </si>
  <si>
    <t>18/2/2023</t>
  </si>
  <si>
    <t>23/2/2023</t>
  </si>
  <si>
    <t>27/2/2023</t>
  </si>
  <si>
    <t>14/1/2023</t>
  </si>
  <si>
    <t>16/1/2023</t>
  </si>
  <si>
    <t>17/1/2023</t>
  </si>
  <si>
    <t>19/1/2023</t>
  </si>
  <si>
    <t>21/1/2023</t>
  </si>
  <si>
    <t>23/1/2023</t>
  </si>
  <si>
    <t>13/3/2023</t>
  </si>
  <si>
    <t>14/3/2023</t>
  </si>
  <si>
    <t>15/3/2023</t>
  </si>
  <si>
    <t>14/2/2023</t>
  </si>
  <si>
    <t>16/3/2023</t>
  </si>
  <si>
    <t>17/3/2023</t>
  </si>
  <si>
    <t>24/2/2023</t>
  </si>
  <si>
    <t>22/3/2023</t>
  </si>
  <si>
    <t>25/2/2023</t>
  </si>
  <si>
    <t>24/3/2023</t>
  </si>
  <si>
    <t>28/2/2023</t>
  </si>
  <si>
    <t>27/3/2023</t>
  </si>
  <si>
    <t>29/3/2023</t>
  </si>
  <si>
    <t>31/3/2023</t>
  </si>
  <si>
    <t>20/3/2023</t>
  </si>
  <si>
    <t>21/3/2023</t>
  </si>
  <si>
    <t>23/3/2023</t>
  </si>
  <si>
    <t>25/3/2023</t>
  </si>
  <si>
    <t>28/3/2023</t>
  </si>
  <si>
    <t>30/3/2023</t>
  </si>
  <si>
    <t>13/4/2023</t>
  </si>
  <si>
    <t>15/4/2023</t>
  </si>
  <si>
    <t>17/4/2023</t>
  </si>
  <si>
    <t>19/4/2023</t>
  </si>
  <si>
    <t>28/4/2023</t>
  </si>
  <si>
    <t>14/4/2023</t>
  </si>
  <si>
    <t>18/4/2023</t>
  </si>
  <si>
    <t>26/4/2023</t>
  </si>
  <si>
    <t>27/4/2023</t>
  </si>
  <si>
    <t>29/4/2023</t>
  </si>
  <si>
    <t>15/5/2023</t>
  </si>
  <si>
    <t>17/5/2023</t>
  </si>
  <si>
    <t>20/5/2023</t>
  </si>
  <si>
    <t>22/5/2023</t>
  </si>
  <si>
    <t>26/5/2023</t>
  </si>
  <si>
    <t>27/5/2023</t>
  </si>
  <si>
    <t>13/5/2023</t>
  </si>
  <si>
    <t>29/5/2023</t>
  </si>
  <si>
    <t>16/5/2023</t>
  </si>
  <si>
    <t>31/5/2023</t>
  </si>
  <si>
    <t>18/5/2023</t>
  </si>
  <si>
    <t>19/5/2023</t>
  </si>
  <si>
    <t>13/6/2023</t>
  </si>
  <si>
    <t>16/6/2023</t>
  </si>
  <si>
    <t>19/6/2023</t>
  </si>
  <si>
    <t>23/6/2023</t>
  </si>
  <si>
    <t>26/6/2023</t>
  </si>
  <si>
    <t>14/6/2023</t>
  </si>
  <si>
    <t>17/6/2023</t>
  </si>
  <si>
    <t>20/6/2023</t>
  </si>
  <si>
    <t>27/6/2023</t>
  </si>
  <si>
    <t>30/6/2023</t>
  </si>
  <si>
    <t>20/7/2023</t>
  </si>
  <si>
    <t>24/7/2023</t>
  </si>
  <si>
    <t>25/7/2023</t>
  </si>
  <si>
    <t>28/7/2023</t>
  </si>
  <si>
    <t>13/7/2023</t>
  </si>
  <si>
    <t>31/7/2023</t>
  </si>
  <si>
    <t>15/7/2023</t>
  </si>
  <si>
    <t>18/7/2023</t>
  </si>
  <si>
    <t>21/7/2023</t>
  </si>
  <si>
    <t>22/7/2023</t>
  </si>
  <si>
    <t>26/7/2023</t>
  </si>
  <si>
    <t>27/7/2023</t>
  </si>
  <si>
    <t>29/7/2023</t>
  </si>
  <si>
    <t>15/8/2023</t>
  </si>
  <si>
    <t>18/8/2023</t>
  </si>
  <si>
    <t>20/8/2023</t>
  </si>
  <si>
    <t>23/8/2023</t>
  </si>
  <si>
    <t>27/8/2023</t>
  </si>
  <si>
    <t>14/8/2023</t>
  </si>
  <si>
    <t>16/8/2023</t>
  </si>
  <si>
    <t>28/8/2023</t>
  </si>
  <si>
    <t>17/8/2023</t>
  </si>
  <si>
    <t>19/8/2023</t>
  </si>
  <si>
    <t>21/8/2023</t>
  </si>
  <si>
    <t>24/8/2023</t>
  </si>
  <si>
    <t>26/8/2023</t>
  </si>
  <si>
    <t>29/8/2023</t>
  </si>
  <si>
    <t>Sajadah Rasfur</t>
  </si>
  <si>
    <t>MAS WEDI</t>
  </si>
  <si>
    <t>MS WEDI</t>
  </si>
  <si>
    <t>18/22/2023</t>
  </si>
  <si>
    <t>14/22/2023</t>
  </si>
  <si>
    <t>MAS WEDI SEBANI</t>
  </si>
  <si>
    <t>z</t>
  </si>
  <si>
    <t xml:space="preserve"> </t>
  </si>
  <si>
    <t>33/10/2024</t>
  </si>
  <si>
    <t>S</t>
  </si>
</sst>
</file>

<file path=xl/styles.xml><?xml version="1.0" encoding="utf-8"?>
<styleSheet xmlns="http://schemas.openxmlformats.org/spreadsheetml/2006/main">
  <numFmts count="8">
    <numFmt numFmtId="164" formatCode="_(\R\p* #,##0_);_(&quot;$&quot;* \(#,##0\);_(&quot;$&quot;* &quot;-&quot;_);_(@_)"/>
    <numFmt numFmtId="165" formatCode="General\ &quot;mt&quot;"/>
    <numFmt numFmtId="166" formatCode="&quot;Rp&quot;#,##0"/>
    <numFmt numFmtId="167" formatCode="_(&quot;Rp&quot;* #,##0_);_(&quot;$&quot;* \(#,##0\);_(&quot;$&quot;* &quot;-&quot;_);_(@_)"/>
    <numFmt numFmtId="168" formatCode="m/d/yyyy;@"/>
    <numFmt numFmtId="169" formatCode="General\ &quot;cm&quot;"/>
    <numFmt numFmtId="170" formatCode="[$-409]mmmm\ d\,\ yyyy;@"/>
    <numFmt numFmtId="171" formatCode="[$-409]dd\-mmm\-yy;@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stellar"/>
      <family val="1"/>
    </font>
    <font>
      <b/>
      <sz val="20"/>
      <color theme="1"/>
      <name val="Castellar"/>
      <family val="1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018">
    <xf numFmtId="0" fontId="0" fillId="0" borderId="0" xfId="0"/>
    <xf numFmtId="0" fontId="7" fillId="0" borderId="0" xfId="0" applyFont="1" applyAlignment="1">
      <alignment readingOrder="1"/>
    </xf>
    <xf numFmtId="0" fontId="8" fillId="0" borderId="0" xfId="0" applyFont="1"/>
    <xf numFmtId="14" fontId="9" fillId="0" borderId="0" xfId="0" applyNumberFormat="1" applyFont="1" applyAlignment="1">
      <alignment horizontal="left" vertical="center"/>
    </xf>
    <xf numFmtId="0" fontId="9" fillId="0" borderId="0" xfId="0" applyFont="1"/>
    <xf numFmtId="14" fontId="9" fillId="0" borderId="1" xfId="0" applyNumberFormat="1" applyFont="1" applyBorder="1" applyAlignment="1">
      <alignment horizontal="left" vertical="center"/>
    </xf>
    <xf numFmtId="0" fontId="10" fillId="0" borderId="0" xfId="1" applyFont="1"/>
    <xf numFmtId="0" fontId="0" fillId="0" borderId="2" xfId="0" applyBorder="1" applyAlignment="1">
      <alignment horizontal="center" vertical="center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11" fillId="0" borderId="2" xfId="0" applyFont="1" applyBorder="1" applyProtection="1">
      <protection locked="0"/>
    </xf>
    <xf numFmtId="0" fontId="9" fillId="0" borderId="3" xfId="0" applyFont="1" applyBorder="1"/>
    <xf numFmtId="164" fontId="9" fillId="0" borderId="2" xfId="0" applyNumberFormat="1" applyFont="1" applyBorder="1" applyAlignment="1">
      <alignment horizontal="left" vertical="justify"/>
    </xf>
    <xf numFmtId="164" fontId="9" fillId="2" borderId="2" xfId="0" applyNumberFormat="1" applyFont="1" applyFill="1" applyBorder="1" applyAlignment="1">
      <alignment horizontal="right" vertical="justify"/>
    </xf>
    <xf numFmtId="164" fontId="9" fillId="0" borderId="2" xfId="0" applyNumberFormat="1" applyFont="1" applyBorder="1" applyAlignment="1">
      <alignment horizontal="right" vertical="justify"/>
    </xf>
    <xf numFmtId="165" fontId="9" fillId="0" borderId="2" xfId="0" applyNumberFormat="1" applyFont="1" applyBorder="1" applyAlignment="1" applyProtection="1">
      <alignment horizontal="center"/>
      <protection locked="0"/>
    </xf>
    <xf numFmtId="0" fontId="11" fillId="3" borderId="2" xfId="0" applyFont="1" applyFill="1" applyBorder="1" applyProtection="1">
      <protection locked="0"/>
    </xf>
    <xf numFmtId="0" fontId="9" fillId="3" borderId="2" xfId="0" applyFont="1" applyFill="1" applyBorder="1"/>
    <xf numFmtId="166" fontId="9" fillId="3" borderId="2" xfId="0" applyNumberFormat="1" applyFont="1" applyFill="1" applyBorder="1" applyAlignment="1">
      <alignment vertical="justify"/>
    </xf>
    <xf numFmtId="164" fontId="9" fillId="0" borderId="2" xfId="0" applyNumberFormat="1" applyFont="1" applyBorder="1" applyAlignment="1">
      <alignment vertical="justify"/>
    </xf>
    <xf numFmtId="0" fontId="9" fillId="0" borderId="0" xfId="0" applyFont="1" applyAlignment="1">
      <alignment horizontal="right"/>
    </xf>
    <xf numFmtId="166" fontId="9" fillId="0" borderId="0" xfId="0" applyNumberFormat="1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67" fontId="0" fillId="0" borderId="0" xfId="0" applyNumberForma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14" fontId="0" fillId="5" borderId="0" xfId="0" applyNumberFormat="1" applyFill="1" applyAlignment="1">
      <alignment horizontal="right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167" fontId="0" fillId="5" borderId="5" xfId="0" applyNumberFormat="1" applyFill="1" applyBorder="1" applyAlignment="1">
      <alignment vertical="center"/>
    </xf>
    <xf numFmtId="14" fontId="0" fillId="4" borderId="2" xfId="0" applyNumberFormat="1" applyFill="1" applyBorder="1" applyAlignment="1">
      <alignment horizontal="right" vertical="center"/>
    </xf>
    <xf numFmtId="14" fontId="0" fillId="5" borderId="2" xfId="0" applyNumberFormat="1" applyFill="1" applyBorder="1" applyAlignment="1">
      <alignment horizontal="right" vertical="center"/>
    </xf>
    <xf numFmtId="167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right" vertical="center"/>
    </xf>
    <xf numFmtId="167" fontId="0" fillId="5" borderId="2" xfId="0" applyNumberFormat="1" applyFill="1" applyBorder="1" applyAlignment="1">
      <alignment vertical="center"/>
    </xf>
    <xf numFmtId="0" fontId="0" fillId="5" borderId="2" xfId="0" applyFill="1" applyBorder="1" applyAlignment="1">
      <alignment horizontal="right" vertical="center"/>
    </xf>
    <xf numFmtId="14" fontId="0" fillId="5" borderId="6" xfId="0" applyNumberFormat="1" applyFill="1" applyBorder="1" applyAlignment="1">
      <alignment horizontal="right" vertical="center"/>
    </xf>
    <xf numFmtId="14" fontId="0" fillId="5" borderId="7" xfId="0" applyNumberFormat="1" applyFill="1" applyBorder="1" applyAlignment="1">
      <alignment horizontal="right" vertical="center"/>
    </xf>
    <xf numFmtId="167" fontId="0" fillId="5" borderId="2" xfId="0" applyNumberFormat="1" applyFill="1" applyBorder="1" applyAlignment="1">
      <alignment horizontal="center"/>
    </xf>
    <xf numFmtId="167" fontId="0" fillId="5" borderId="2" xfId="0" applyNumberFormat="1" applyFill="1" applyBorder="1" applyAlignment="1">
      <alignment horizontal="right" vertical="center"/>
    </xf>
    <xf numFmtId="14" fontId="0" fillId="5" borderId="6" xfId="0" applyNumberForma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6" fontId="0" fillId="5" borderId="2" xfId="0" applyNumberFormat="1" applyFill="1" applyBorder="1" applyAlignment="1">
      <alignment vertical="center"/>
    </xf>
    <xf numFmtId="167" fontId="0" fillId="0" borderId="0" xfId="0" applyNumberFormat="1"/>
    <xf numFmtId="0" fontId="0" fillId="5" borderId="2" xfId="0" applyFill="1" applyBorder="1"/>
    <xf numFmtId="166" fontId="0" fillId="5" borderId="2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right"/>
    </xf>
    <xf numFmtId="14" fontId="0" fillId="5" borderId="12" xfId="0" applyNumberFormat="1" applyFill="1" applyBorder="1" applyAlignment="1">
      <alignment horizontal="center" vertical="center"/>
    </xf>
    <xf numFmtId="167" fontId="0" fillId="5" borderId="12" xfId="0" applyNumberForma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167" fontId="0" fillId="0" borderId="2" xfId="0" applyNumberFormat="1" applyBorder="1" applyAlignment="1">
      <alignment horizontal="right" vertical="center"/>
    </xf>
    <xf numFmtId="14" fontId="0" fillId="0" borderId="2" xfId="0" applyNumberForma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167" fontId="0" fillId="5" borderId="8" xfId="0" applyNumberFormat="1" applyFill="1" applyBorder="1" applyAlignment="1">
      <alignment vertical="center"/>
    </xf>
    <xf numFmtId="0" fontId="0" fillId="0" borderId="12" xfId="0" applyBorder="1" applyAlignment="1">
      <alignment horizontal="right" vertical="center"/>
    </xf>
    <xf numFmtId="0" fontId="13" fillId="0" borderId="8" xfId="0" applyFont="1" applyBorder="1" applyAlignment="1">
      <alignment horizontal="center" vertical="center"/>
    </xf>
    <xf numFmtId="166" fontId="0" fillId="0" borderId="2" xfId="0" applyNumberFormat="1" applyBorder="1" applyAlignment="1">
      <alignment vertical="center"/>
    </xf>
    <xf numFmtId="166" fontId="13" fillId="0" borderId="12" xfId="0" applyNumberFormat="1" applyFont="1" applyBorder="1" applyAlignment="1">
      <alignment vertical="center"/>
    </xf>
    <xf numFmtId="14" fontId="0" fillId="0" borderId="0" xfId="0" applyNumberFormat="1" applyFill="1" applyAlignment="1">
      <alignment horizontal="right"/>
    </xf>
    <xf numFmtId="0" fontId="0" fillId="0" borderId="0" xfId="0" applyFill="1" applyAlignment="1">
      <alignment horizontal="center"/>
    </xf>
    <xf numFmtId="167" fontId="0" fillId="0" borderId="0" xfId="0" applyNumberFormat="1" applyFill="1"/>
    <xf numFmtId="0" fontId="12" fillId="0" borderId="2" xfId="0" applyFont="1" applyBorder="1"/>
    <xf numFmtId="0" fontId="13" fillId="0" borderId="2" xfId="0" applyFont="1" applyBorder="1"/>
    <xf numFmtId="14" fontId="0" fillId="0" borderId="2" xfId="0" applyNumberFormat="1" applyBorder="1"/>
    <xf numFmtId="0" fontId="0" fillId="0" borderId="2" xfId="0" applyBorder="1"/>
    <xf numFmtId="166" fontId="0" fillId="0" borderId="2" xfId="0" applyNumberFormat="1" applyBorder="1"/>
    <xf numFmtId="166" fontId="15" fillId="0" borderId="2" xfId="0" applyNumberFormat="1" applyFont="1" applyBorder="1"/>
    <xf numFmtId="14" fontId="0" fillId="5" borderId="2" xfId="0" applyNumberFormat="1" applyFill="1" applyBorder="1"/>
    <xf numFmtId="166" fontId="0" fillId="5" borderId="2" xfId="0" applyNumberFormat="1" applyFill="1" applyBorder="1"/>
    <xf numFmtId="14" fontId="16" fillId="5" borderId="2" xfId="0" applyNumberFormat="1" applyFont="1" applyFill="1" applyBorder="1"/>
    <xf numFmtId="0" fontId="15" fillId="5" borderId="2" xfId="0" applyFont="1" applyFill="1" applyBorder="1"/>
    <xf numFmtId="0" fontId="15" fillId="0" borderId="2" xfId="0" applyFont="1" applyBorder="1"/>
    <xf numFmtId="0" fontId="16" fillId="0" borderId="2" xfId="0" applyFont="1" applyBorder="1"/>
    <xf numFmtId="166" fontId="13" fillId="0" borderId="12" xfId="0" applyNumberFormat="1" applyFont="1" applyBorder="1"/>
    <xf numFmtId="14" fontId="0" fillId="0" borderId="0" xfId="0" applyNumberFormat="1"/>
    <xf numFmtId="14" fontId="0" fillId="0" borderId="11" xfId="0" applyNumberFormat="1" applyBorder="1"/>
    <xf numFmtId="0" fontId="0" fillId="0" borderId="11" xfId="0" applyBorder="1"/>
    <xf numFmtId="0" fontId="17" fillId="0" borderId="0" xfId="1"/>
    <xf numFmtId="0" fontId="0" fillId="0" borderId="12" xfId="0" applyBorder="1"/>
    <xf numFmtId="0" fontId="0" fillId="0" borderId="3" xfId="0" applyBorder="1"/>
    <xf numFmtId="0" fontId="0" fillId="0" borderId="12" xfId="0" applyBorder="1" applyAlignment="1" applyProtection="1">
      <alignment horizontal="center"/>
      <protection locked="0"/>
    </xf>
    <xf numFmtId="0" fontId="18" fillId="0" borderId="3" xfId="0" applyFont="1" applyBorder="1" applyProtection="1">
      <protection locked="0"/>
    </xf>
    <xf numFmtId="0" fontId="13" fillId="0" borderId="12" xfId="0" applyFont="1" applyBorder="1" applyAlignment="1" applyProtection="1">
      <alignment horizontal="center"/>
      <protection locked="0"/>
    </xf>
    <xf numFmtId="0" fontId="19" fillId="0" borderId="3" xfId="0" applyFont="1" applyBorder="1" applyProtection="1">
      <protection locked="0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vertical="justify"/>
    </xf>
    <xf numFmtId="0" fontId="13" fillId="0" borderId="12" xfId="0" applyFont="1" applyBorder="1"/>
    <xf numFmtId="0" fontId="0" fillId="0" borderId="9" xfId="0" applyBorder="1"/>
    <xf numFmtId="0" fontId="20" fillId="0" borderId="2" xfId="0" applyFont="1" applyBorder="1" applyAlignment="1">
      <alignment vertical="center"/>
    </xf>
    <xf numFmtId="0" fontId="0" fillId="0" borderId="9" xfId="0" applyBorder="1" applyAlignment="1" applyProtection="1">
      <alignment horizontal="center"/>
      <protection locked="0"/>
    </xf>
    <xf numFmtId="0" fontId="18" fillId="0" borderId="4" xfId="0" applyFont="1" applyBorder="1" applyProtection="1">
      <protection locked="0"/>
    </xf>
    <xf numFmtId="0" fontId="20" fillId="0" borderId="5" xfId="0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13" fillId="0" borderId="1" xfId="0" applyFont="1" applyBorder="1" applyAlignment="1" applyProtection="1">
      <alignment horizontal="center"/>
      <protection locked="0"/>
    </xf>
    <xf numFmtId="0" fontId="19" fillId="0" borderId="11" xfId="0" applyFont="1" applyBorder="1" applyProtection="1">
      <protection locked="0"/>
    </xf>
    <xf numFmtId="0" fontId="13" fillId="0" borderId="1" xfId="0" applyFont="1" applyBorder="1"/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 applyProtection="1">
      <alignment horizontal="center"/>
      <protection locked="0"/>
    </xf>
    <xf numFmtId="169" fontId="0" fillId="0" borderId="2" xfId="0" applyNumberFormat="1" applyBorder="1"/>
    <xf numFmtId="0" fontId="0" fillId="5" borderId="12" xfId="0" applyFill="1" applyBorder="1" applyAlignment="1" applyProtection="1">
      <alignment horizontal="center"/>
      <protection locked="0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right" vertical="center"/>
    </xf>
    <xf numFmtId="0" fontId="0" fillId="0" borderId="0" xfId="0" applyAlignment="1">
      <alignment horizontal="center"/>
    </xf>
    <xf numFmtId="168" fontId="0" fillId="5" borderId="12" xfId="0" applyNumberFormat="1" applyFill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right" vertical="center"/>
    </xf>
    <xf numFmtId="14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right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right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right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2" xfId="0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right" vertical="center"/>
    </xf>
    <xf numFmtId="167" fontId="0" fillId="6" borderId="2" xfId="0" applyNumberFormat="1" applyFill="1" applyBorder="1" applyAlignment="1">
      <alignment horizontal="right" vertical="center"/>
    </xf>
    <xf numFmtId="168" fontId="0" fillId="6" borderId="12" xfId="0" applyNumberFormat="1" applyFill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5" xfId="0" applyNumberFormat="1" applyFill="1" applyBorder="1" applyAlignment="1">
      <alignment vertical="center"/>
    </xf>
    <xf numFmtId="14" fontId="0" fillId="5" borderId="7" xfId="0" applyNumberFormat="1" applyFill="1" applyBorder="1" applyAlignment="1">
      <alignment vertical="center"/>
    </xf>
    <xf numFmtId="14" fontId="0" fillId="5" borderId="6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4" fontId="0" fillId="6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6" fontId="0" fillId="5" borderId="2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14" fillId="0" borderId="0" xfId="0" applyFont="1" applyFill="1"/>
    <xf numFmtId="14" fontId="14" fillId="0" borderId="0" xfId="0" applyNumberFormat="1" applyFont="1" applyFill="1" applyAlignment="1">
      <alignment horizontal="right"/>
    </xf>
    <xf numFmtId="0" fontId="14" fillId="0" borderId="0" xfId="0" applyFont="1" applyFill="1" applyAlignment="1">
      <alignment horizontal="center"/>
    </xf>
    <xf numFmtId="167" fontId="14" fillId="0" borderId="0" xfId="0" applyNumberFormat="1" applyFont="1" applyFill="1"/>
    <xf numFmtId="0" fontId="0" fillId="7" borderId="2" xfId="0" applyFill="1" applyBorder="1" applyAlignment="1">
      <alignment vertical="center"/>
    </xf>
    <xf numFmtId="0" fontId="0" fillId="7" borderId="2" xfId="0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right" vertical="center"/>
    </xf>
    <xf numFmtId="167" fontId="0" fillId="7" borderId="2" xfId="0" applyNumberFormat="1" applyFill="1" applyBorder="1" applyAlignment="1">
      <alignment horizontal="right" vertical="center"/>
    </xf>
    <xf numFmtId="168" fontId="0" fillId="7" borderId="12" xfId="0" applyNumberFormat="1" applyFill="1" applyBorder="1" applyAlignment="1">
      <alignment horizontal="right" vertical="center"/>
    </xf>
    <xf numFmtId="0" fontId="0" fillId="9" borderId="2" xfId="0" applyFill="1" applyBorder="1" applyAlignment="1">
      <alignment vertical="center"/>
    </xf>
    <xf numFmtId="0" fontId="0" fillId="9" borderId="2" xfId="0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right" vertical="center"/>
    </xf>
    <xf numFmtId="167" fontId="0" fillId="9" borderId="2" xfId="0" applyNumberFormat="1" applyFill="1" applyBorder="1" applyAlignment="1">
      <alignment horizontal="right" vertical="center"/>
    </xf>
    <xf numFmtId="168" fontId="0" fillId="9" borderId="12" xfId="0" applyNumberFormat="1" applyFill="1" applyBorder="1" applyAlignment="1">
      <alignment horizontal="right" vertical="center"/>
    </xf>
    <xf numFmtId="166" fontId="0" fillId="9" borderId="2" xfId="0" applyNumberFormat="1" applyFill="1" applyBorder="1" applyAlignment="1">
      <alignment vertical="center"/>
    </xf>
    <xf numFmtId="14" fontId="0" fillId="9" borderId="6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" xfId="0" applyFill="1" applyBorder="1" applyAlignment="1">
      <alignment horizontal="center" vertical="center"/>
    </xf>
    <xf numFmtId="164" fontId="0" fillId="8" borderId="2" xfId="0" applyNumberFormat="1" applyFill="1" applyBorder="1" applyAlignment="1">
      <alignment horizontal="right" vertical="center"/>
    </xf>
    <xf numFmtId="167" fontId="0" fillId="8" borderId="2" xfId="0" applyNumberFormat="1" applyFill="1" applyBorder="1" applyAlignment="1">
      <alignment horizontal="right" vertical="center"/>
    </xf>
    <xf numFmtId="168" fontId="0" fillId="8" borderId="12" xfId="0" applyNumberFormat="1" applyFill="1" applyBorder="1" applyAlignment="1">
      <alignment horizontal="right" vertical="center"/>
    </xf>
    <xf numFmtId="14" fontId="0" fillId="8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9" borderId="6" xfId="0" applyNumberFormat="1" applyFill="1" applyBorder="1" applyAlignment="1">
      <alignment horizontal="center" vertical="center"/>
    </xf>
    <xf numFmtId="14" fontId="0" fillId="10" borderId="6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vertical="center"/>
    </xf>
    <xf numFmtId="0" fontId="0" fillId="10" borderId="2" xfId="0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right" vertical="center"/>
    </xf>
    <xf numFmtId="167" fontId="0" fillId="10" borderId="2" xfId="0" applyNumberFormat="1" applyFill="1" applyBorder="1" applyAlignment="1">
      <alignment horizontal="right" vertical="center"/>
    </xf>
    <xf numFmtId="168" fontId="0" fillId="10" borderId="12" xfId="0" applyNumberForma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10" borderId="6" xfId="0" applyNumberFormat="1" applyFill="1" applyBorder="1" applyAlignment="1">
      <alignment horizontal="center" vertical="center"/>
    </xf>
    <xf numFmtId="166" fontId="0" fillId="5" borderId="2" xfId="0" applyNumberFormat="1" applyFill="1" applyBorder="1" applyAlignment="1">
      <alignment vertical="center"/>
    </xf>
    <xf numFmtId="14" fontId="0" fillId="5" borderId="6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14" fillId="5" borderId="6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14" fillId="5" borderId="2" xfId="0" applyFont="1" applyFill="1" applyBorder="1" applyAlignment="1">
      <alignment horizontal="center" vertical="center"/>
    </xf>
    <xf numFmtId="167" fontId="14" fillId="5" borderId="2" xfId="0" applyNumberFormat="1" applyFont="1" applyFill="1" applyBorder="1" applyAlignment="1">
      <alignment horizontal="right" vertical="center"/>
    </xf>
    <xf numFmtId="166" fontId="14" fillId="5" borderId="2" xfId="0" applyNumberFormat="1" applyFont="1" applyFill="1" applyBorder="1" applyAlignment="1">
      <alignment vertical="center"/>
    </xf>
    <xf numFmtId="166" fontId="0" fillId="10" borderId="2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4" fontId="0" fillId="12" borderId="6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vertical="center"/>
    </xf>
    <xf numFmtId="0" fontId="0" fillId="12" borderId="2" xfId="0" applyFill="1" applyBorder="1" applyAlignment="1">
      <alignment horizontal="center" vertical="center"/>
    </xf>
    <xf numFmtId="164" fontId="0" fillId="12" borderId="2" xfId="0" applyNumberFormat="1" applyFill="1" applyBorder="1" applyAlignment="1">
      <alignment horizontal="right" vertical="center"/>
    </xf>
    <xf numFmtId="167" fontId="0" fillId="12" borderId="2" xfId="0" applyNumberFormat="1" applyFill="1" applyBorder="1" applyAlignment="1">
      <alignment horizontal="right" vertical="center"/>
    </xf>
    <xf numFmtId="0" fontId="4" fillId="12" borderId="2" xfId="0" applyFont="1" applyFill="1" applyBorder="1" applyAlignment="1">
      <alignment vertical="center"/>
    </xf>
    <xf numFmtId="166" fontId="0" fillId="12" borderId="2" xfId="0" applyNumberFormat="1" applyFill="1" applyBorder="1" applyAlignment="1">
      <alignment vertical="center"/>
    </xf>
    <xf numFmtId="166" fontId="14" fillId="12" borderId="2" xfId="0" applyNumberFormat="1" applyFont="1" applyFill="1" applyBorder="1" applyAlignment="1">
      <alignment vertical="center"/>
    </xf>
    <xf numFmtId="14" fontId="0" fillId="13" borderId="6" xfId="0" applyNumberFormat="1" applyFill="1" applyBorder="1" applyAlignment="1">
      <alignment horizontal="center" vertical="center"/>
    </xf>
    <xf numFmtId="0" fontId="0" fillId="13" borderId="2" xfId="0" applyFill="1" applyBorder="1" applyAlignment="1">
      <alignment vertical="center"/>
    </xf>
    <xf numFmtId="0" fontId="0" fillId="13" borderId="2" xfId="0" applyFill="1" applyBorder="1" applyAlignment="1">
      <alignment horizontal="center" vertical="center"/>
    </xf>
    <xf numFmtId="164" fontId="0" fillId="13" borderId="2" xfId="0" applyNumberFormat="1" applyFill="1" applyBorder="1" applyAlignment="1">
      <alignment horizontal="right" vertical="center"/>
    </xf>
    <xf numFmtId="167" fontId="0" fillId="13" borderId="2" xfId="0" applyNumberFormat="1" applyFill="1" applyBorder="1" applyAlignment="1">
      <alignment horizontal="right" vertical="center"/>
    </xf>
    <xf numFmtId="166" fontId="0" fillId="13" borderId="2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66" fontId="0" fillId="5" borderId="2" xfId="0" applyNumberFormat="1" applyFill="1" applyBorder="1" applyAlignment="1">
      <alignment vertical="center"/>
    </xf>
    <xf numFmtId="14" fontId="0" fillId="5" borderId="6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4" fontId="0" fillId="7" borderId="6" xfId="0" applyNumberFormat="1" applyFill="1" applyBorder="1" applyAlignment="1">
      <alignment horizontal="center" vertical="center"/>
    </xf>
    <xf numFmtId="166" fontId="0" fillId="7" borderId="2" xfId="0" applyNumberFormat="1" applyFill="1" applyBorder="1" applyAlignment="1">
      <alignment vertical="center"/>
    </xf>
    <xf numFmtId="166" fontId="0" fillId="6" borderId="2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7" fontId="0" fillId="14" borderId="3" xfId="0" applyNumberFormat="1" applyFill="1" applyBorder="1" applyAlignment="1">
      <alignment horizontal="center" vertical="center"/>
    </xf>
    <xf numFmtId="14" fontId="0" fillId="14" borderId="6" xfId="0" applyNumberFormat="1" applyFill="1" applyBorder="1" applyAlignment="1">
      <alignment horizontal="center" vertical="center"/>
    </xf>
    <xf numFmtId="0" fontId="0" fillId="14" borderId="2" xfId="0" applyFill="1" applyBorder="1" applyAlignment="1">
      <alignment vertical="center"/>
    </xf>
    <xf numFmtId="0" fontId="0" fillId="14" borderId="2" xfId="0" applyFill="1" applyBorder="1" applyAlignment="1">
      <alignment horizontal="center" vertical="center"/>
    </xf>
    <xf numFmtId="164" fontId="0" fillId="14" borderId="2" xfId="0" applyNumberFormat="1" applyFill="1" applyBorder="1" applyAlignment="1">
      <alignment horizontal="right" vertical="center"/>
    </xf>
    <xf numFmtId="167" fontId="0" fillId="14" borderId="2" xfId="0" applyNumberFormat="1" applyFill="1" applyBorder="1" applyAlignment="1">
      <alignment horizontal="right" vertical="center"/>
    </xf>
    <xf numFmtId="166" fontId="0" fillId="14" borderId="2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4" fontId="0" fillId="8" borderId="6" xfId="0" applyNumberFormat="1" applyFill="1" applyBorder="1" applyAlignment="1">
      <alignment horizontal="center" vertical="center"/>
    </xf>
    <xf numFmtId="14" fontId="0" fillId="7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70" fontId="0" fillId="12" borderId="9" xfId="0" applyNumberFormat="1" applyFill="1" applyBorder="1" applyAlignment="1">
      <alignment vertical="center"/>
    </xf>
    <xf numFmtId="0" fontId="12" fillId="0" borderId="12" xfId="0" applyFont="1" applyBorder="1" applyAlignment="1">
      <alignment horizontal="center" vertical="center"/>
    </xf>
    <xf numFmtId="14" fontId="0" fillId="5" borderId="12" xfId="0" applyNumberFormat="1" applyFill="1" applyBorder="1" applyAlignment="1">
      <alignment horizontal="right" vertical="center"/>
    </xf>
    <xf numFmtId="0" fontId="0" fillId="5" borderId="12" xfId="0" applyFill="1" applyBorder="1" applyAlignment="1">
      <alignment horizontal="right" vertical="center"/>
    </xf>
    <xf numFmtId="0" fontId="0" fillId="5" borderId="12" xfId="0" applyFill="1" applyBorder="1" applyAlignment="1">
      <alignment horizontal="right"/>
    </xf>
    <xf numFmtId="0" fontId="0" fillId="4" borderId="2" xfId="0" applyFill="1" applyBorder="1" applyAlignment="1">
      <alignment horizontal="right" vertical="center"/>
    </xf>
    <xf numFmtId="0" fontId="0" fillId="6" borderId="2" xfId="0" applyFill="1" applyBorder="1" applyAlignment="1">
      <alignment horizontal="right" vertical="center"/>
    </xf>
    <xf numFmtId="0" fontId="0" fillId="7" borderId="2" xfId="0" applyFill="1" applyBorder="1" applyAlignment="1">
      <alignment horizontal="right" vertical="center"/>
    </xf>
    <xf numFmtId="0" fontId="0" fillId="9" borderId="2" xfId="0" applyFill="1" applyBorder="1" applyAlignment="1">
      <alignment horizontal="right" vertical="center"/>
    </xf>
    <xf numFmtId="0" fontId="0" fillId="8" borderId="2" xfId="0" applyFill="1" applyBorder="1" applyAlignment="1">
      <alignment horizontal="right" vertical="center"/>
    </xf>
    <xf numFmtId="0" fontId="0" fillId="10" borderId="2" xfId="0" applyFill="1" applyBorder="1" applyAlignment="1">
      <alignment horizontal="right" vertical="center"/>
    </xf>
    <xf numFmtId="0" fontId="0" fillId="12" borderId="2" xfId="0" applyFill="1" applyBorder="1" applyAlignment="1">
      <alignment horizontal="right" vertical="center"/>
    </xf>
    <xf numFmtId="0" fontId="0" fillId="13" borderId="2" xfId="0" applyFill="1" applyBorder="1" applyAlignment="1">
      <alignment horizontal="right" vertical="center"/>
    </xf>
    <xf numFmtId="0" fontId="0" fillId="14" borderId="2" xfId="0" applyFill="1" applyBorder="1" applyAlignment="1">
      <alignment horizontal="right" vertical="center"/>
    </xf>
    <xf numFmtId="0" fontId="0" fillId="2" borderId="10" xfId="0" applyFill="1" applyBorder="1" applyAlignment="1">
      <alignment horizontal="right"/>
    </xf>
    <xf numFmtId="166" fontId="0" fillId="8" borderId="2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4" fontId="0" fillId="15" borderId="6" xfId="0" applyNumberFormat="1" applyFill="1" applyBorder="1" applyAlignment="1">
      <alignment horizontal="center" vertical="center"/>
    </xf>
    <xf numFmtId="0" fontId="0" fillId="15" borderId="2" xfId="0" applyFill="1" applyBorder="1" applyAlignment="1">
      <alignment vertical="center"/>
    </xf>
    <xf numFmtId="0" fontId="0" fillId="15" borderId="2" xfId="0" applyFill="1" applyBorder="1" applyAlignment="1">
      <alignment horizontal="center" vertical="center"/>
    </xf>
    <xf numFmtId="164" fontId="0" fillId="15" borderId="2" xfId="0" applyNumberFormat="1" applyFill="1" applyBorder="1" applyAlignment="1">
      <alignment horizontal="right" vertical="center"/>
    </xf>
    <xf numFmtId="167" fontId="0" fillId="15" borderId="2" xfId="0" applyNumberFormat="1" applyFill="1" applyBorder="1" applyAlignment="1">
      <alignment horizontal="right" vertical="center"/>
    </xf>
    <xf numFmtId="0" fontId="0" fillId="15" borderId="2" xfId="0" applyFill="1" applyBorder="1" applyAlignment="1">
      <alignment horizontal="right" vertical="center"/>
    </xf>
    <xf numFmtId="166" fontId="0" fillId="15" borderId="2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16" borderId="2" xfId="0" applyFill="1" applyBorder="1" applyAlignment="1">
      <alignment vertical="center"/>
    </xf>
    <xf numFmtId="0" fontId="0" fillId="16" borderId="2" xfId="0" applyFill="1" applyBorder="1" applyAlignment="1">
      <alignment horizontal="center" vertical="center"/>
    </xf>
    <xf numFmtId="164" fontId="0" fillId="16" borderId="2" xfId="0" applyNumberFormat="1" applyFill="1" applyBorder="1" applyAlignment="1">
      <alignment horizontal="right" vertical="center"/>
    </xf>
    <xf numFmtId="167" fontId="0" fillId="16" borderId="2" xfId="0" applyNumberFormat="1" applyFill="1" applyBorder="1" applyAlignment="1">
      <alignment horizontal="right" vertical="center"/>
    </xf>
    <xf numFmtId="0" fontId="0" fillId="16" borderId="2" xfId="0" applyFill="1" applyBorder="1" applyAlignment="1">
      <alignment horizontal="right" vertical="center"/>
    </xf>
    <xf numFmtId="14" fontId="0" fillId="16" borderId="6" xfId="0" applyNumberFormat="1" applyFill="1" applyBorder="1" applyAlignment="1">
      <alignment horizontal="center" vertical="center"/>
    </xf>
    <xf numFmtId="166" fontId="0" fillId="16" borderId="2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4" fontId="0" fillId="17" borderId="6" xfId="0" applyNumberFormat="1" applyFill="1" applyBorder="1" applyAlignment="1">
      <alignment horizontal="center" vertical="center"/>
    </xf>
    <xf numFmtId="0" fontId="0" fillId="17" borderId="2" xfId="0" applyFill="1" applyBorder="1" applyAlignment="1">
      <alignment vertical="center"/>
    </xf>
    <xf numFmtId="0" fontId="0" fillId="17" borderId="2" xfId="0" applyFill="1" applyBorder="1" applyAlignment="1">
      <alignment horizontal="center" vertical="center"/>
    </xf>
    <xf numFmtId="164" fontId="0" fillId="17" borderId="2" xfId="0" applyNumberFormat="1" applyFill="1" applyBorder="1" applyAlignment="1">
      <alignment horizontal="right" vertical="center"/>
    </xf>
    <xf numFmtId="167" fontId="0" fillId="17" borderId="2" xfId="0" applyNumberFormat="1" applyFill="1" applyBorder="1" applyAlignment="1">
      <alignment horizontal="right" vertical="center"/>
    </xf>
    <xf numFmtId="0" fontId="0" fillId="17" borderId="2" xfId="0" applyFill="1" applyBorder="1" applyAlignment="1">
      <alignment horizontal="right" vertical="center"/>
    </xf>
    <xf numFmtId="166" fontId="0" fillId="17" borderId="2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4" fontId="0" fillId="12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166" fontId="0" fillId="5" borderId="2" xfId="0" applyNumberFormat="1" applyFill="1" applyBorder="1" applyAlignment="1">
      <alignment vertical="center"/>
    </xf>
    <xf numFmtId="14" fontId="0" fillId="18" borderId="6" xfId="0" applyNumberFormat="1" applyFill="1" applyBorder="1" applyAlignment="1">
      <alignment horizontal="center" vertical="center"/>
    </xf>
    <xf numFmtId="0" fontId="0" fillId="18" borderId="2" xfId="0" applyFill="1" applyBorder="1" applyAlignment="1">
      <alignment vertical="center"/>
    </xf>
    <xf numFmtId="0" fontId="0" fillId="18" borderId="2" xfId="0" applyFill="1" applyBorder="1" applyAlignment="1">
      <alignment horizontal="center" vertical="center"/>
    </xf>
    <xf numFmtId="164" fontId="0" fillId="18" borderId="2" xfId="0" applyNumberFormat="1" applyFill="1" applyBorder="1" applyAlignment="1">
      <alignment horizontal="right" vertical="center"/>
    </xf>
    <xf numFmtId="167" fontId="0" fillId="18" borderId="2" xfId="0" applyNumberFormat="1" applyFill="1" applyBorder="1" applyAlignment="1">
      <alignment horizontal="right" vertical="center"/>
    </xf>
    <xf numFmtId="0" fontId="0" fillId="18" borderId="2" xfId="0" applyFill="1" applyBorder="1" applyAlignment="1">
      <alignment horizontal="right" vertical="center"/>
    </xf>
    <xf numFmtId="166" fontId="0" fillId="18" borderId="2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4" fontId="0" fillId="12" borderId="6" xfId="0" applyNumberFormat="1" applyFill="1" applyBorder="1" applyAlignment="1">
      <alignment horizontal="center" vertical="center"/>
    </xf>
    <xf numFmtId="164" fontId="0" fillId="0" borderId="8" xfId="0" applyNumberFormat="1" applyBorder="1" applyAlignment="1">
      <alignment horizontal="right" vertical="center"/>
    </xf>
    <xf numFmtId="167" fontId="0" fillId="0" borderId="8" xfId="0" applyNumberFormat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8" borderId="6" xfId="0" applyNumberForma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166" fontId="0" fillId="5" borderId="2" xfId="0" applyNumberFormat="1" applyFill="1" applyBorder="1" applyAlignment="1">
      <alignment vertical="center"/>
    </xf>
    <xf numFmtId="14" fontId="0" fillId="19" borderId="6" xfId="0" applyNumberFormat="1" applyFill="1" applyBorder="1" applyAlignment="1">
      <alignment horizontal="center" vertical="center"/>
    </xf>
    <xf numFmtId="0" fontId="0" fillId="19" borderId="2" xfId="0" applyFill="1" applyBorder="1" applyAlignment="1">
      <alignment vertical="center"/>
    </xf>
    <xf numFmtId="0" fontId="3" fillId="19" borderId="2" xfId="0" applyFont="1" applyFill="1" applyBorder="1" applyAlignment="1">
      <alignment horizontal="center" vertical="center"/>
    </xf>
    <xf numFmtId="164" fontId="0" fillId="19" borderId="2" xfId="0" applyNumberFormat="1" applyFill="1" applyBorder="1" applyAlignment="1">
      <alignment horizontal="right" vertical="center"/>
    </xf>
    <xf numFmtId="167" fontId="0" fillId="19" borderId="2" xfId="0" applyNumberFormat="1" applyFill="1" applyBorder="1" applyAlignment="1">
      <alignment horizontal="right" vertical="center"/>
    </xf>
    <xf numFmtId="0" fontId="0" fillId="19" borderId="2" xfId="0" applyFill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19" borderId="6" xfId="0" applyNumberFormat="1" applyFill="1" applyBorder="1" applyAlignment="1">
      <alignment horizontal="center" vertical="center"/>
    </xf>
    <xf numFmtId="14" fontId="0" fillId="12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19" borderId="2" xfId="0" applyNumberFormat="1" applyFill="1" applyBorder="1" applyAlignment="1">
      <alignment vertical="center"/>
    </xf>
    <xf numFmtId="14" fontId="0" fillId="20" borderId="6" xfId="0" applyNumberFormat="1" applyFill="1" applyBorder="1" applyAlignment="1">
      <alignment horizontal="center" vertical="center"/>
    </xf>
    <xf numFmtId="0" fontId="0" fillId="20" borderId="2" xfId="0" applyFill="1" applyBorder="1" applyAlignment="1">
      <alignment vertical="center"/>
    </xf>
    <xf numFmtId="0" fontId="3" fillId="20" borderId="2" xfId="0" applyFont="1" applyFill="1" applyBorder="1" applyAlignment="1">
      <alignment horizontal="center" vertical="center"/>
    </xf>
    <xf numFmtId="164" fontId="0" fillId="20" borderId="2" xfId="0" applyNumberFormat="1" applyFill="1" applyBorder="1" applyAlignment="1">
      <alignment horizontal="right" vertical="center"/>
    </xf>
    <xf numFmtId="0" fontId="0" fillId="20" borderId="2" xfId="0" applyFill="1" applyBorder="1" applyAlignment="1">
      <alignment horizontal="right" vertical="center"/>
    </xf>
    <xf numFmtId="170" fontId="0" fillId="20" borderId="9" xfId="0" applyNumberFormat="1" applyFill="1" applyBorder="1" applyAlignment="1">
      <alignment vertical="center"/>
    </xf>
    <xf numFmtId="14" fontId="0" fillId="21" borderId="6" xfId="0" applyNumberFormat="1" applyFill="1" applyBorder="1" applyAlignment="1">
      <alignment horizontal="center" vertical="center"/>
    </xf>
    <xf numFmtId="0" fontId="0" fillId="21" borderId="2" xfId="0" applyFill="1" applyBorder="1" applyAlignment="1">
      <alignment vertical="center"/>
    </xf>
    <xf numFmtId="0" fontId="3" fillId="21" borderId="2" xfId="0" applyFont="1" applyFill="1" applyBorder="1" applyAlignment="1">
      <alignment horizontal="center" vertical="center"/>
    </xf>
    <xf numFmtId="164" fontId="0" fillId="21" borderId="2" xfId="0" applyNumberFormat="1" applyFill="1" applyBorder="1" applyAlignment="1">
      <alignment horizontal="right" vertical="center"/>
    </xf>
    <xf numFmtId="167" fontId="0" fillId="21" borderId="2" xfId="0" applyNumberFormat="1" applyFill="1" applyBorder="1" applyAlignment="1">
      <alignment horizontal="right" vertical="center"/>
    </xf>
    <xf numFmtId="0" fontId="0" fillId="21" borderId="2" xfId="0" applyFill="1" applyBorder="1" applyAlignment="1">
      <alignment horizontal="right" vertical="center"/>
    </xf>
    <xf numFmtId="166" fontId="0" fillId="21" borderId="2" xfId="0" applyNumberFormat="1" applyFill="1" applyBorder="1" applyAlignment="1">
      <alignment vertical="center"/>
    </xf>
    <xf numFmtId="166" fontId="0" fillId="20" borderId="2" xfId="0" applyNumberFormat="1" applyFill="1" applyBorder="1" applyAlignment="1">
      <alignment vertical="center"/>
    </xf>
    <xf numFmtId="164" fontId="0" fillId="20" borderId="8" xfId="0" applyNumberFormat="1" applyFill="1" applyBorder="1" applyAlignment="1">
      <alignment horizontal="right" vertical="center"/>
    </xf>
    <xf numFmtId="167" fontId="0" fillId="20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166" fontId="0" fillId="5" borderId="2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70" fontId="0" fillId="5" borderId="9" xfId="0" applyNumberFormat="1" applyFill="1" applyBorder="1" applyAlignment="1">
      <alignment vertical="center"/>
    </xf>
    <xf numFmtId="167" fontId="0" fillId="5" borderId="3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right" vertical="center"/>
    </xf>
    <xf numFmtId="14" fontId="0" fillId="22" borderId="6" xfId="0" applyNumberFormat="1" applyFill="1" applyBorder="1" applyAlignment="1">
      <alignment horizontal="center" vertical="center"/>
    </xf>
    <xf numFmtId="0" fontId="0" fillId="22" borderId="2" xfId="0" applyFill="1" applyBorder="1" applyAlignment="1">
      <alignment vertical="center"/>
    </xf>
    <xf numFmtId="0" fontId="3" fillId="22" borderId="2" xfId="0" applyFont="1" applyFill="1" applyBorder="1" applyAlignment="1">
      <alignment horizontal="center" vertical="center"/>
    </xf>
    <xf numFmtId="164" fontId="0" fillId="22" borderId="2" xfId="0" applyNumberFormat="1" applyFill="1" applyBorder="1" applyAlignment="1">
      <alignment horizontal="right" vertical="center"/>
    </xf>
    <xf numFmtId="0" fontId="0" fillId="22" borderId="2" xfId="0" applyFill="1" applyBorder="1" applyAlignment="1">
      <alignment horizontal="right" vertical="center"/>
    </xf>
    <xf numFmtId="170" fontId="0" fillId="22" borderId="9" xfId="0" applyNumberFormat="1" applyFill="1" applyBorder="1" applyAlignment="1">
      <alignment vertical="center"/>
    </xf>
    <xf numFmtId="167" fontId="0" fillId="22" borderId="3" xfId="0" applyNumberFormat="1" applyFill="1" applyBorder="1" applyAlignment="1">
      <alignment horizontal="center" vertical="center"/>
    </xf>
    <xf numFmtId="166" fontId="0" fillId="22" borderId="2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14" fontId="0" fillId="8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23" borderId="6" xfId="0" applyNumberFormat="1" applyFill="1" applyBorder="1" applyAlignment="1">
      <alignment horizontal="center" vertical="center"/>
    </xf>
    <xf numFmtId="0" fontId="0" fillId="23" borderId="2" xfId="0" applyFill="1" applyBorder="1" applyAlignment="1">
      <alignment vertical="center"/>
    </xf>
    <xf numFmtId="0" fontId="3" fillId="23" borderId="2" xfId="0" applyFont="1" applyFill="1" applyBorder="1" applyAlignment="1">
      <alignment horizontal="center" vertical="center"/>
    </xf>
    <xf numFmtId="164" fontId="0" fillId="23" borderId="2" xfId="0" applyNumberFormat="1" applyFill="1" applyBorder="1" applyAlignment="1">
      <alignment horizontal="right" vertical="center"/>
    </xf>
    <xf numFmtId="0" fontId="0" fillId="23" borderId="2" xfId="0" applyFill="1" applyBorder="1" applyAlignment="1">
      <alignment horizontal="right" vertical="center"/>
    </xf>
    <xf numFmtId="167" fontId="0" fillId="23" borderId="2" xfId="0" applyNumberFormat="1" applyFill="1" applyBorder="1" applyAlignment="1">
      <alignment horizontal="right" vertical="center"/>
    </xf>
    <xf numFmtId="166" fontId="0" fillId="23" borderId="2" xfId="0" applyNumberFormat="1" applyFill="1" applyBorder="1" applyAlignment="1">
      <alignment vertical="center"/>
    </xf>
    <xf numFmtId="166" fontId="0" fillId="23" borderId="6" xfId="0" applyNumberFormat="1" applyFill="1" applyBorder="1" applyAlignment="1">
      <alignment horizontal="center" vertical="center"/>
    </xf>
    <xf numFmtId="14" fontId="0" fillId="19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23" borderId="6" xfId="0" applyNumberFormat="1" applyFill="1" applyBorder="1" applyAlignment="1">
      <alignment horizontal="center" vertical="center"/>
    </xf>
    <xf numFmtId="166" fontId="0" fillId="19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23" borderId="8" xfId="0" applyNumberFormat="1" applyFill="1" applyBorder="1" applyAlignment="1">
      <alignment horizontal="right" vertical="center"/>
    </xf>
    <xf numFmtId="0" fontId="0" fillId="0" borderId="0" xfId="0" applyAlignment="1">
      <alignment horizontal="center"/>
    </xf>
    <xf numFmtId="166" fontId="0" fillId="24" borderId="6" xfId="0" applyNumberFormat="1" applyFill="1" applyBorder="1" applyAlignment="1">
      <alignment horizontal="center" vertical="center"/>
    </xf>
    <xf numFmtId="166" fontId="0" fillId="21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166" fontId="0" fillId="5" borderId="6" xfId="0" applyNumberFormat="1" applyFill="1" applyBorder="1" applyAlignment="1">
      <alignment horizontal="center" vertical="center"/>
    </xf>
    <xf numFmtId="14" fontId="0" fillId="12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18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10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14" fontId="0" fillId="12" borderId="6" xfId="0" applyNumberForma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5" borderId="7" xfId="0" applyNumberForma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9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14" fontId="0" fillId="12" borderId="6" xfId="0" applyNumberForma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14" fontId="0" fillId="9" borderId="7" xfId="0" applyNumberForma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7" borderId="6" xfId="0" applyNumberFormat="1" applyFill="1" applyBorder="1" applyAlignment="1">
      <alignment horizontal="center" vertical="center"/>
    </xf>
    <xf numFmtId="14" fontId="0" fillId="16" borderId="6" xfId="0" applyNumberFormat="1" applyFill="1" applyBorder="1" applyAlignment="1">
      <alignment horizontal="center" vertical="center"/>
    </xf>
    <xf numFmtId="14" fontId="0" fillId="19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19" borderId="6" xfId="0" applyNumberForma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14" fontId="0" fillId="19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14" fontId="0" fillId="25" borderId="6" xfId="0" applyNumberFormat="1" applyFill="1" applyBorder="1" applyAlignment="1">
      <alignment horizontal="center" vertical="center"/>
    </xf>
    <xf numFmtId="0" fontId="0" fillId="25" borderId="2" xfId="0" applyFill="1" applyBorder="1" applyAlignment="1">
      <alignment vertical="center"/>
    </xf>
    <xf numFmtId="0" fontId="3" fillId="25" borderId="2" xfId="0" applyFont="1" applyFill="1" applyBorder="1" applyAlignment="1">
      <alignment horizontal="center" vertical="center"/>
    </xf>
    <xf numFmtId="164" fontId="0" fillId="25" borderId="2" xfId="0" applyNumberFormat="1" applyFill="1" applyBorder="1" applyAlignment="1">
      <alignment horizontal="right" vertical="center"/>
    </xf>
    <xf numFmtId="0" fontId="0" fillId="25" borderId="2" xfId="0" applyFill="1" applyBorder="1" applyAlignment="1">
      <alignment horizontal="right"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14" fontId="2" fillId="9" borderId="6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vertical="center"/>
    </xf>
    <xf numFmtId="0" fontId="2" fillId="9" borderId="2" xfId="0" applyFont="1" applyFill="1" applyBorder="1" applyAlignment="1">
      <alignment horizontal="center" vertical="center"/>
    </xf>
    <xf numFmtId="164" fontId="2" fillId="9" borderId="2" xfId="0" applyNumberFormat="1" applyFont="1" applyFill="1" applyBorder="1" applyAlignment="1">
      <alignment horizontal="right" vertical="center"/>
    </xf>
    <xf numFmtId="0" fontId="2" fillId="9" borderId="2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12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71" fontId="0" fillId="0" borderId="2" xfId="0" applyNumberFormat="1" applyFill="1" applyBorder="1" applyAlignment="1">
      <alignment vertical="center"/>
    </xf>
    <xf numFmtId="14" fontId="0" fillId="19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166" fontId="0" fillId="12" borderId="6" xfId="0" applyNumberFormat="1" applyFill="1" applyBorder="1" applyAlignment="1">
      <alignment horizontal="center" vertical="center"/>
    </xf>
    <xf numFmtId="14" fontId="0" fillId="12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11" borderId="6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vertical="center"/>
    </xf>
    <xf numFmtId="0" fontId="3" fillId="11" borderId="2" xfId="0" applyFon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right" vertical="center"/>
    </xf>
    <xf numFmtId="0" fontId="0" fillId="11" borderId="2" xfId="0" applyFill="1" applyBorder="1" applyAlignment="1">
      <alignment horizontal="right" vertical="center"/>
    </xf>
    <xf numFmtId="166" fontId="0" fillId="11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26" borderId="6" xfId="0" applyNumberFormat="1" applyFill="1" applyBorder="1" applyAlignment="1">
      <alignment horizontal="center" vertical="center"/>
    </xf>
    <xf numFmtId="0" fontId="0" fillId="26" borderId="2" xfId="0" applyFill="1" applyBorder="1" applyAlignment="1">
      <alignment vertical="center"/>
    </xf>
    <xf numFmtId="0" fontId="3" fillId="26" borderId="2" xfId="0" applyFont="1" applyFill="1" applyBorder="1" applyAlignment="1">
      <alignment horizontal="center" vertical="center"/>
    </xf>
    <xf numFmtId="164" fontId="0" fillId="26" borderId="2" xfId="0" applyNumberFormat="1" applyFill="1" applyBorder="1" applyAlignment="1">
      <alignment horizontal="right" vertical="center"/>
    </xf>
    <xf numFmtId="0" fontId="0" fillId="26" borderId="2" xfId="0" applyFill="1" applyBorder="1" applyAlignment="1">
      <alignment horizontal="right" vertical="center"/>
    </xf>
    <xf numFmtId="14" fontId="0" fillId="5" borderId="7" xfId="0" applyNumberForma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12" borderId="6" xfId="0" applyNumberForma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23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7" borderId="2" xfId="0" applyFill="1" applyBorder="1" applyAlignment="1">
      <alignment vertical="center"/>
    </xf>
    <xf numFmtId="0" fontId="3" fillId="27" borderId="2" xfId="0" applyFont="1" applyFill="1" applyBorder="1" applyAlignment="1">
      <alignment horizontal="center" vertical="center"/>
    </xf>
    <xf numFmtId="164" fontId="0" fillId="27" borderId="2" xfId="0" applyNumberFormat="1" applyFill="1" applyBorder="1" applyAlignment="1">
      <alignment horizontal="right" vertical="center"/>
    </xf>
    <xf numFmtId="0" fontId="0" fillId="27" borderId="2" xfId="0" applyFill="1" applyBorder="1" applyAlignment="1">
      <alignment horizontal="right" vertical="center"/>
    </xf>
    <xf numFmtId="14" fontId="0" fillId="27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14" fontId="0" fillId="11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14" fontId="0" fillId="11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7" borderId="6" xfId="0" applyNumberFormat="1" applyFill="1" applyBorder="1" applyAlignment="1">
      <alignment horizontal="center" vertical="center"/>
    </xf>
    <xf numFmtId="166" fontId="0" fillId="7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171" fontId="0" fillId="7" borderId="2" xfId="0" applyNumberFormat="1" applyFill="1" applyBorder="1" applyAlignment="1">
      <alignment vertical="center"/>
    </xf>
    <xf numFmtId="167" fontId="0" fillId="7" borderId="3" xfId="0" applyNumberFormat="1" applyFill="1" applyBorder="1" applyAlignment="1">
      <alignment horizontal="center" vertical="center"/>
    </xf>
    <xf numFmtId="164" fontId="0" fillId="8" borderId="8" xfId="0" applyNumberFormat="1" applyFill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0" fontId="1" fillId="0" borderId="0" xfId="0" applyFont="1"/>
    <xf numFmtId="171" fontId="0" fillId="5" borderId="2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4" fontId="0" fillId="16" borderId="6" xfId="0" applyNumberFormat="1" applyFill="1" applyBorder="1" applyAlignment="1">
      <alignment horizontal="center" vertical="center"/>
    </xf>
    <xf numFmtId="14" fontId="0" fillId="12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7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10" borderId="6" xfId="0" applyNumberFormat="1" applyFill="1" applyBorder="1" applyAlignment="1">
      <alignment horizontal="center" vertical="center"/>
    </xf>
    <xf numFmtId="0" fontId="0" fillId="28" borderId="2" xfId="0" applyFill="1" applyBorder="1" applyAlignment="1">
      <alignment vertical="center"/>
    </xf>
    <xf numFmtId="0" fontId="3" fillId="28" borderId="2" xfId="0" applyFont="1" applyFill="1" applyBorder="1" applyAlignment="1">
      <alignment horizontal="center" vertical="center"/>
    </xf>
    <xf numFmtId="164" fontId="0" fillId="28" borderId="2" xfId="0" applyNumberFormat="1" applyFill="1" applyBorder="1" applyAlignment="1">
      <alignment horizontal="right" vertical="center"/>
    </xf>
    <xf numFmtId="0" fontId="0" fillId="28" borderId="2" xfId="0" applyFill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29" borderId="6" xfId="0" applyNumberFormat="1" applyFill="1" applyBorder="1" applyAlignment="1">
      <alignment horizontal="center" vertical="center"/>
    </xf>
    <xf numFmtId="0" fontId="0" fillId="29" borderId="2" xfId="0" applyFill="1" applyBorder="1" applyAlignment="1">
      <alignment vertical="center"/>
    </xf>
    <xf numFmtId="0" fontId="3" fillId="29" borderId="2" xfId="0" applyFont="1" applyFill="1" applyBorder="1" applyAlignment="1">
      <alignment horizontal="center" vertical="center"/>
    </xf>
    <xf numFmtId="164" fontId="0" fillId="29" borderId="2" xfId="0" applyNumberFormat="1" applyFill="1" applyBorder="1" applyAlignment="1">
      <alignment horizontal="right" vertical="center"/>
    </xf>
    <xf numFmtId="0" fontId="0" fillId="29" borderId="2" xfId="0" applyFill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30" borderId="6" xfId="0" applyNumberFormat="1" applyFill="1" applyBorder="1" applyAlignment="1">
      <alignment horizontal="center" vertical="center"/>
    </xf>
    <xf numFmtId="0" fontId="0" fillId="30" borderId="2" xfId="0" applyFill="1" applyBorder="1" applyAlignment="1">
      <alignment vertical="center"/>
    </xf>
    <xf numFmtId="0" fontId="3" fillId="30" borderId="2" xfId="0" applyFont="1" applyFill="1" applyBorder="1" applyAlignment="1">
      <alignment horizontal="center" vertical="center"/>
    </xf>
    <xf numFmtId="164" fontId="0" fillId="30" borderId="2" xfId="0" applyNumberFormat="1" applyFill="1" applyBorder="1" applyAlignment="1">
      <alignment horizontal="right" vertical="center"/>
    </xf>
    <xf numFmtId="0" fontId="0" fillId="30" borderId="2" xfId="0" applyFill="1" applyBorder="1" applyAlignment="1">
      <alignment horizontal="right" vertical="center"/>
    </xf>
    <xf numFmtId="0" fontId="3" fillId="15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30" borderId="6" xfId="0" applyNumberFormat="1" applyFill="1" applyBorder="1" applyAlignment="1">
      <alignment horizontal="center" vertical="center"/>
    </xf>
    <xf numFmtId="166" fontId="0" fillId="30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171" fontId="0" fillId="30" borderId="2" xfId="0" applyNumberFormat="1" applyFill="1" applyBorder="1" applyAlignment="1">
      <alignment vertical="center"/>
    </xf>
    <xf numFmtId="167" fontId="0" fillId="30" borderId="3" xfId="0" applyNumberFormat="1" applyFill="1" applyBorder="1" applyAlignment="1">
      <alignment horizontal="center" vertical="center"/>
    </xf>
    <xf numFmtId="14" fontId="0" fillId="0" borderId="6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164" fontId="0" fillId="0" borderId="2" xfId="0" applyNumberForma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12" borderId="6" xfId="0" applyNumberFormat="1" applyFill="1" applyBorder="1" applyAlignment="1">
      <alignment horizontal="center" vertical="center"/>
    </xf>
    <xf numFmtId="14" fontId="0" fillId="8" borderId="6" xfId="0" applyNumberFormat="1" applyFill="1" applyBorder="1" applyAlignment="1">
      <alignment horizontal="center" vertical="center"/>
    </xf>
    <xf numFmtId="14" fontId="0" fillId="23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12" borderId="7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1" borderId="2" xfId="0" applyFill="1" applyBorder="1" applyAlignment="1">
      <alignment vertical="center"/>
    </xf>
    <xf numFmtId="0" fontId="3" fillId="31" borderId="2" xfId="0" applyFont="1" applyFill="1" applyBorder="1" applyAlignment="1">
      <alignment horizontal="center" vertical="center"/>
    </xf>
    <xf numFmtId="164" fontId="0" fillId="31" borderId="2" xfId="0" applyNumberFormat="1" applyFill="1" applyBorder="1" applyAlignment="1">
      <alignment horizontal="right" vertical="center"/>
    </xf>
    <xf numFmtId="0" fontId="0" fillId="31" borderId="2" xfId="0" applyFill="1" applyBorder="1" applyAlignment="1">
      <alignment horizontal="right" vertical="center"/>
    </xf>
    <xf numFmtId="0" fontId="3" fillId="13" borderId="2" xfId="0" applyFont="1" applyFill="1" applyBorder="1" applyAlignment="1">
      <alignment horizontal="center" vertical="center"/>
    </xf>
    <xf numFmtId="0" fontId="0" fillId="12" borderId="5" xfId="0" applyFill="1" applyBorder="1" applyAlignment="1">
      <alignment vertical="center"/>
    </xf>
    <xf numFmtId="0" fontId="3" fillId="12" borderId="5" xfId="0" applyFont="1" applyFill="1" applyBorder="1" applyAlignment="1">
      <alignment horizontal="center" vertical="center"/>
    </xf>
    <xf numFmtId="164" fontId="0" fillId="12" borderId="5" xfId="0" applyNumberFormat="1" applyFill="1" applyBorder="1" applyAlignment="1">
      <alignment horizontal="right" vertical="center"/>
    </xf>
    <xf numFmtId="0" fontId="0" fillId="12" borderId="5" xfId="0" applyFill="1" applyBorder="1" applyAlignment="1">
      <alignment horizontal="right" vertical="center"/>
    </xf>
    <xf numFmtId="0" fontId="0" fillId="13" borderId="14" xfId="0" applyFill="1" applyBorder="1" applyAlignment="1">
      <alignment vertical="center"/>
    </xf>
    <xf numFmtId="0" fontId="3" fillId="13" borderId="14" xfId="0" applyFont="1" applyFill="1" applyBorder="1" applyAlignment="1">
      <alignment horizontal="center" vertical="center"/>
    </xf>
    <xf numFmtId="164" fontId="0" fillId="13" borderId="14" xfId="0" applyNumberFormat="1" applyFill="1" applyBorder="1" applyAlignment="1">
      <alignment horizontal="right" vertical="center"/>
    </xf>
    <xf numFmtId="0" fontId="0" fillId="13" borderId="14" xfId="0" applyFill="1" applyBorder="1" applyAlignment="1">
      <alignment horizontal="right" vertical="center"/>
    </xf>
    <xf numFmtId="0" fontId="0" fillId="13" borderId="22" xfId="0" applyFill="1" applyBorder="1" applyAlignment="1">
      <alignment vertical="center"/>
    </xf>
    <xf numFmtId="0" fontId="3" fillId="13" borderId="22" xfId="0" applyFont="1" applyFill="1" applyBorder="1" applyAlignment="1">
      <alignment horizontal="center" vertical="center"/>
    </xf>
    <xf numFmtId="164" fontId="0" fillId="13" borderId="22" xfId="0" applyNumberFormat="1" applyFill="1" applyBorder="1" applyAlignment="1">
      <alignment horizontal="right" vertical="center"/>
    </xf>
    <xf numFmtId="0" fontId="0" fillId="13" borderId="22" xfId="0" applyFill="1" applyBorder="1" applyAlignment="1">
      <alignment horizontal="right" vertical="center"/>
    </xf>
    <xf numFmtId="0" fontId="0" fillId="16" borderId="6" xfId="0" applyFill="1" applyBorder="1" applyAlignment="1">
      <alignment vertical="center"/>
    </xf>
    <xf numFmtId="0" fontId="3" fillId="16" borderId="6" xfId="0" applyFont="1" applyFill="1" applyBorder="1" applyAlignment="1">
      <alignment horizontal="center" vertical="center"/>
    </xf>
    <xf numFmtId="164" fontId="0" fillId="16" borderId="6" xfId="0" applyNumberFormat="1" applyFill="1" applyBorder="1" applyAlignment="1">
      <alignment horizontal="right" vertical="center"/>
    </xf>
    <xf numFmtId="0" fontId="0" fillId="16" borderId="6" xfId="0" applyFill="1" applyBorder="1" applyAlignment="1">
      <alignment horizontal="right" vertical="center"/>
    </xf>
    <xf numFmtId="14" fontId="0" fillId="31" borderId="6" xfId="0" applyNumberForma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14" fontId="0" fillId="8" borderId="6" xfId="0" applyNumberFormat="1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8" borderId="0" xfId="0" applyFont="1" applyFill="1" applyBorder="1" applyAlignment="1">
      <alignment horizontal="center" vertical="center"/>
    </xf>
    <xf numFmtId="164" fontId="0" fillId="0" borderId="0" xfId="0" applyNumberFormat="1" applyBorder="1" applyAlignment="1">
      <alignment horizontal="right" vertical="center"/>
    </xf>
    <xf numFmtId="164" fontId="0" fillId="8" borderId="0" xfId="0" applyNumberForma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12" borderId="6" xfId="0" applyNumberFormat="1" applyFill="1" applyBorder="1" applyAlignment="1">
      <alignment horizontal="center" vertical="center"/>
    </xf>
    <xf numFmtId="14" fontId="0" fillId="8" borderId="6" xfId="0" applyNumberForma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4" fontId="0" fillId="7" borderId="6" xfId="0" applyNumberFormat="1" applyFill="1" applyBorder="1" applyAlignment="1">
      <alignment horizontal="center" vertical="center"/>
    </xf>
    <xf numFmtId="14" fontId="0" fillId="11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4" fontId="0" fillId="16" borderId="6" xfId="0" applyNumberFormat="1" applyFill="1" applyBorder="1" applyAlignment="1">
      <alignment horizontal="center" vertical="center"/>
    </xf>
    <xf numFmtId="14" fontId="0" fillId="30" borderId="6" xfId="0" applyNumberFormat="1" applyFill="1" applyBorder="1" applyAlignment="1">
      <alignment horizontal="center" vertical="center"/>
    </xf>
    <xf numFmtId="14" fontId="0" fillId="7" borderId="6" xfId="0" applyNumberFormat="1" applyFill="1" applyBorder="1" applyAlignment="1">
      <alignment horizontal="center" vertical="center"/>
    </xf>
    <xf numFmtId="14" fontId="0" fillId="12" borderId="6" xfId="0" applyNumberFormat="1" applyFill="1" applyBorder="1" applyAlignment="1">
      <alignment horizontal="center" vertical="center"/>
    </xf>
    <xf numFmtId="14" fontId="0" fillId="23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64" fontId="0" fillId="12" borderId="8" xfId="0" applyNumberFormat="1" applyFill="1" applyBorder="1" applyAlignment="1">
      <alignment horizontal="right" vertical="center"/>
    </xf>
    <xf numFmtId="164" fontId="0" fillId="7" borderId="8" xfId="0" applyNumberFormat="1" applyFill="1" applyBorder="1" applyAlignment="1">
      <alignment horizontal="right" vertic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9" fillId="0" borderId="2" xfId="0" applyFont="1" applyBorder="1" applyAlignment="1">
      <alignment horizontal="center"/>
    </xf>
    <xf numFmtId="3" fontId="9" fillId="0" borderId="4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12" xfId="0" applyBorder="1" applyAlignment="1">
      <alignment horizontal="left"/>
    </xf>
    <xf numFmtId="166" fontId="13" fillId="0" borderId="8" xfId="0" applyNumberFormat="1" applyFont="1" applyBorder="1" applyAlignment="1">
      <alignment horizontal="center"/>
    </xf>
    <xf numFmtId="166" fontId="13" fillId="0" borderId="3" xfId="0" applyNumberFormat="1" applyFont="1" applyBorder="1" applyAlignment="1">
      <alignment horizontal="center"/>
    </xf>
    <xf numFmtId="166" fontId="13" fillId="0" borderId="12" xfId="0" applyNumberFormat="1" applyFont="1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67" fontId="0" fillId="12" borderId="5" xfId="0" applyNumberFormat="1" applyFill="1" applyBorder="1" applyAlignment="1">
      <alignment horizontal="center" vertical="center"/>
    </xf>
    <xf numFmtId="167" fontId="0" fillId="12" borderId="7" xfId="0" applyNumberFormat="1" applyFill="1" applyBorder="1" applyAlignment="1">
      <alignment horizontal="center" vertical="center"/>
    </xf>
    <xf numFmtId="167" fontId="0" fillId="12" borderId="6" xfId="0" applyNumberFormat="1" applyFill="1" applyBorder="1" applyAlignment="1">
      <alignment horizontal="center" vertical="center"/>
    </xf>
    <xf numFmtId="171" fontId="0" fillId="12" borderId="5" xfId="0" applyNumberFormat="1" applyFill="1" applyBorder="1" applyAlignment="1">
      <alignment horizontal="center" vertical="center"/>
    </xf>
    <xf numFmtId="171" fontId="0" fillId="12" borderId="7" xfId="0" applyNumberFormat="1" applyFill="1" applyBorder="1" applyAlignment="1">
      <alignment horizontal="center" vertical="center"/>
    </xf>
    <xf numFmtId="171" fontId="0" fillId="12" borderId="6" xfId="0" applyNumberFormat="1" applyFill="1" applyBorder="1" applyAlignment="1">
      <alignment horizontal="center" vertical="center"/>
    </xf>
    <xf numFmtId="167" fontId="0" fillId="16" borderId="5" xfId="0" applyNumberFormat="1" applyFill="1" applyBorder="1" applyAlignment="1">
      <alignment horizontal="center" vertical="center"/>
    </xf>
    <xf numFmtId="167" fontId="0" fillId="16" borderId="6" xfId="0" applyNumberFormat="1" applyFill="1" applyBorder="1" applyAlignment="1">
      <alignment horizontal="center" vertical="center"/>
    </xf>
    <xf numFmtId="171" fontId="0" fillId="16" borderId="5" xfId="0" applyNumberFormat="1" applyFill="1" applyBorder="1" applyAlignment="1">
      <alignment horizontal="center" vertical="center"/>
    </xf>
    <xf numFmtId="171" fontId="0" fillId="16" borderId="6" xfId="0" applyNumberFormat="1" applyFill="1" applyBorder="1" applyAlignment="1">
      <alignment horizontal="center" vertical="center"/>
    </xf>
    <xf numFmtId="167" fontId="0" fillId="7" borderId="5" xfId="0" applyNumberFormat="1" applyFill="1" applyBorder="1" applyAlignment="1">
      <alignment horizontal="center" vertical="center"/>
    </xf>
    <xf numFmtId="167" fontId="0" fillId="7" borderId="7" xfId="0" applyNumberFormat="1" applyFill="1" applyBorder="1" applyAlignment="1">
      <alignment horizontal="center" vertical="center"/>
    </xf>
    <xf numFmtId="167" fontId="0" fillId="7" borderId="6" xfId="0" applyNumberFormat="1" applyFill="1" applyBorder="1" applyAlignment="1">
      <alignment horizontal="center" vertical="center"/>
    </xf>
    <xf numFmtId="171" fontId="0" fillId="7" borderId="5" xfId="0" applyNumberFormat="1" applyFill="1" applyBorder="1" applyAlignment="1">
      <alignment horizontal="center" vertical="center"/>
    </xf>
    <xf numFmtId="171" fontId="0" fillId="7" borderId="7" xfId="0" applyNumberFormat="1" applyFill="1" applyBorder="1" applyAlignment="1">
      <alignment horizontal="center" vertical="center"/>
    </xf>
    <xf numFmtId="171" fontId="0" fillId="7" borderId="6" xfId="0" applyNumberFormat="1" applyFill="1" applyBorder="1" applyAlignment="1">
      <alignment horizontal="center" vertical="center"/>
    </xf>
    <xf numFmtId="166" fontId="0" fillId="7" borderId="5" xfId="0" applyNumberFormat="1" applyFill="1" applyBorder="1" applyAlignment="1">
      <alignment horizontal="center" vertical="center"/>
    </xf>
    <xf numFmtId="166" fontId="0" fillId="7" borderId="7" xfId="0" applyNumberFormat="1" applyFill="1" applyBorder="1" applyAlignment="1">
      <alignment horizontal="center" vertical="center"/>
    </xf>
    <xf numFmtId="166" fontId="0" fillId="7" borderId="6" xfId="0" applyNumberFormat="1" applyFill="1" applyBorder="1" applyAlignment="1">
      <alignment horizontal="center" vertical="center"/>
    </xf>
    <xf numFmtId="167" fontId="0" fillId="16" borderId="7" xfId="0" applyNumberFormat="1" applyFill="1" applyBorder="1" applyAlignment="1">
      <alignment horizontal="center" vertical="center"/>
    </xf>
    <xf numFmtId="171" fontId="0" fillId="16" borderId="7" xfId="0" applyNumberFormat="1" applyFill="1" applyBorder="1" applyAlignment="1">
      <alignment horizontal="center" vertical="center"/>
    </xf>
    <xf numFmtId="166" fontId="0" fillId="16" borderId="5" xfId="0" applyNumberFormat="1" applyFill="1" applyBorder="1" applyAlignment="1">
      <alignment horizontal="center" vertical="center"/>
    </xf>
    <xf numFmtId="166" fontId="0" fillId="16" borderId="7" xfId="0" applyNumberFormat="1" applyFill="1" applyBorder="1" applyAlignment="1">
      <alignment horizontal="center" vertical="center"/>
    </xf>
    <xf numFmtId="166" fontId="0" fillId="16" borderId="6" xfId="0" applyNumberFormat="1" applyFill="1" applyBorder="1" applyAlignment="1">
      <alignment horizontal="center" vertical="center"/>
    </xf>
    <xf numFmtId="166" fontId="0" fillId="12" borderId="5" xfId="0" applyNumberFormat="1" applyFill="1" applyBorder="1" applyAlignment="1">
      <alignment horizontal="center" vertical="center"/>
    </xf>
    <xf numFmtId="166" fontId="0" fillId="12" borderId="6" xfId="0" applyNumberFormat="1" applyFill="1" applyBorder="1" applyAlignment="1">
      <alignment horizontal="center" vertical="center"/>
    </xf>
    <xf numFmtId="14" fontId="0" fillId="30" borderId="5" xfId="0" applyNumberFormat="1" applyFill="1" applyBorder="1" applyAlignment="1">
      <alignment horizontal="center" vertical="center"/>
    </xf>
    <xf numFmtId="14" fontId="0" fillId="30" borderId="7" xfId="0" applyNumberFormat="1" applyFill="1" applyBorder="1" applyAlignment="1">
      <alignment horizontal="center" vertical="center"/>
    </xf>
    <xf numFmtId="14" fontId="0" fillId="30" borderId="6" xfId="0" applyNumberFormat="1" applyFill="1" applyBorder="1" applyAlignment="1">
      <alignment horizontal="center" vertical="center"/>
    </xf>
    <xf numFmtId="167" fontId="0" fillId="30" borderId="5" xfId="0" applyNumberFormat="1" applyFill="1" applyBorder="1" applyAlignment="1">
      <alignment horizontal="center" vertical="center"/>
    </xf>
    <xf numFmtId="167" fontId="0" fillId="30" borderId="7" xfId="0" applyNumberFormat="1" applyFill="1" applyBorder="1" applyAlignment="1">
      <alignment horizontal="center" vertical="center"/>
    </xf>
    <xf numFmtId="167" fontId="0" fillId="30" borderId="6" xfId="0" applyNumberFormat="1" applyFill="1" applyBorder="1" applyAlignment="1">
      <alignment horizontal="center" vertical="center"/>
    </xf>
    <xf numFmtId="171" fontId="0" fillId="30" borderId="5" xfId="0" applyNumberFormat="1" applyFill="1" applyBorder="1" applyAlignment="1">
      <alignment horizontal="center" vertical="center"/>
    </xf>
    <xf numFmtId="171" fontId="0" fillId="30" borderId="7" xfId="0" applyNumberFormat="1" applyFill="1" applyBorder="1" applyAlignment="1">
      <alignment horizontal="center" vertical="center"/>
    </xf>
    <xf numFmtId="171" fontId="0" fillId="30" borderId="6" xfId="0" applyNumberFormat="1" applyFill="1" applyBorder="1" applyAlignment="1">
      <alignment horizontal="center" vertical="center"/>
    </xf>
    <xf numFmtId="166" fontId="0" fillId="30" borderId="5" xfId="0" applyNumberFormat="1" applyFill="1" applyBorder="1" applyAlignment="1">
      <alignment horizontal="center" vertical="center"/>
    </xf>
    <xf numFmtId="166" fontId="0" fillId="30" borderId="7" xfId="0" applyNumberFormat="1" applyFill="1" applyBorder="1" applyAlignment="1">
      <alignment horizontal="center" vertical="center"/>
    </xf>
    <xf numFmtId="166" fontId="0" fillId="30" borderId="6" xfId="0" applyNumberFormat="1" applyFill="1" applyBorder="1" applyAlignment="1">
      <alignment horizontal="center" vertical="center"/>
    </xf>
    <xf numFmtId="167" fontId="0" fillId="23" borderId="5" xfId="0" applyNumberFormat="1" applyFill="1" applyBorder="1" applyAlignment="1">
      <alignment horizontal="center" vertical="center"/>
    </xf>
    <xf numFmtId="167" fontId="0" fillId="23" borderId="7" xfId="0" applyNumberFormat="1" applyFill="1" applyBorder="1" applyAlignment="1">
      <alignment horizontal="center" vertical="center"/>
    </xf>
    <xf numFmtId="167" fontId="0" fillId="23" borderId="6" xfId="0" applyNumberFormat="1" applyFill="1" applyBorder="1" applyAlignment="1">
      <alignment horizontal="center" vertical="center"/>
    </xf>
    <xf numFmtId="171" fontId="0" fillId="23" borderId="5" xfId="0" applyNumberFormat="1" applyFill="1" applyBorder="1" applyAlignment="1">
      <alignment horizontal="center" vertical="center"/>
    </xf>
    <xf numFmtId="171" fontId="0" fillId="23" borderId="7" xfId="0" applyNumberFormat="1" applyFill="1" applyBorder="1" applyAlignment="1">
      <alignment horizontal="center" vertical="center"/>
    </xf>
    <xf numFmtId="171" fontId="0" fillId="23" borderId="6" xfId="0" applyNumberFormat="1" applyFill="1" applyBorder="1" applyAlignment="1">
      <alignment horizontal="center" vertical="center"/>
    </xf>
    <xf numFmtId="14" fontId="0" fillId="23" borderId="5" xfId="0" applyNumberFormat="1" applyFill="1" applyBorder="1" applyAlignment="1">
      <alignment horizontal="center" vertical="center"/>
    </xf>
    <xf numFmtId="14" fontId="0" fillId="23" borderId="6" xfId="0" applyNumberFormat="1" applyFill="1" applyBorder="1" applyAlignment="1">
      <alignment horizontal="center" vertical="center"/>
    </xf>
    <xf numFmtId="14" fontId="0" fillId="16" borderId="5" xfId="0" applyNumberFormat="1" applyFill="1" applyBorder="1" applyAlignment="1">
      <alignment horizontal="center" vertical="center"/>
    </xf>
    <xf numFmtId="14" fontId="0" fillId="16" borderId="6" xfId="0" applyNumberFormat="1" applyFill="1" applyBorder="1" applyAlignment="1">
      <alignment horizontal="center" vertical="center"/>
    </xf>
    <xf numFmtId="14" fontId="0" fillId="7" borderId="5" xfId="0" applyNumberFormat="1" applyFill="1" applyBorder="1" applyAlignment="1">
      <alignment horizontal="center" vertical="center"/>
    </xf>
    <xf numFmtId="14" fontId="0" fillId="7" borderId="6" xfId="0" applyNumberFormat="1" applyFill="1" applyBorder="1" applyAlignment="1">
      <alignment horizontal="center" vertical="center"/>
    </xf>
    <xf numFmtId="14" fontId="0" fillId="12" borderId="5" xfId="0" applyNumberFormat="1" applyFill="1" applyBorder="1" applyAlignment="1">
      <alignment horizontal="center" vertical="center"/>
    </xf>
    <xf numFmtId="14" fontId="0" fillId="12" borderId="6" xfId="0" applyNumberForma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14" fontId="0" fillId="5" borderId="7" xfId="0" applyNumberForma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171" fontId="0" fillId="8" borderId="5" xfId="0" applyNumberFormat="1" applyFill="1" applyBorder="1" applyAlignment="1">
      <alignment horizontal="center" vertical="center"/>
    </xf>
    <xf numFmtId="171" fontId="0" fillId="8" borderId="6" xfId="0" applyNumberFormat="1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 vertical="center"/>
    </xf>
    <xf numFmtId="14" fontId="0" fillId="13" borderId="17" xfId="0" applyNumberFormat="1" applyFill="1" applyBorder="1" applyAlignment="1">
      <alignment horizontal="center" vertical="center"/>
    </xf>
    <xf numFmtId="14" fontId="0" fillId="13" borderId="19" xfId="0" applyNumberFormat="1" applyFill="1" applyBorder="1" applyAlignment="1">
      <alignment horizontal="center" vertical="center"/>
    </xf>
    <xf numFmtId="171" fontId="0" fillId="5" borderId="5" xfId="0" applyNumberFormat="1" applyFill="1" applyBorder="1" applyAlignment="1">
      <alignment horizontal="center" vertical="center"/>
    </xf>
    <xf numFmtId="171" fontId="0" fillId="5" borderId="6" xfId="0" applyNumberFormat="1" applyFill="1" applyBorder="1" applyAlignment="1">
      <alignment horizontal="center" vertical="center"/>
    </xf>
    <xf numFmtId="14" fontId="0" fillId="8" borderId="5" xfId="0" applyNumberFormat="1" applyFill="1" applyBorder="1" applyAlignment="1">
      <alignment horizontal="center" vertical="center"/>
    </xf>
    <xf numFmtId="14" fontId="0" fillId="8" borderId="6" xfId="0" applyNumberFormat="1" applyFill="1" applyBorder="1" applyAlignment="1">
      <alignment horizontal="center" vertical="center"/>
    </xf>
    <xf numFmtId="14" fontId="0" fillId="13" borderId="20" xfId="0" applyNumberFormat="1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167" fontId="0" fillId="16" borderId="15" xfId="0" applyNumberFormat="1" applyFill="1" applyBorder="1" applyAlignment="1">
      <alignment horizontal="center" vertical="center"/>
    </xf>
    <xf numFmtId="166" fontId="0" fillId="16" borderId="15" xfId="0" applyNumberFormat="1" applyFill="1" applyBorder="1" applyAlignment="1">
      <alignment horizontal="center" vertical="center"/>
    </xf>
    <xf numFmtId="171" fontId="0" fillId="16" borderId="15" xfId="0" applyNumberFormat="1" applyFill="1" applyBorder="1" applyAlignment="1">
      <alignment horizontal="center" vertical="center"/>
    </xf>
    <xf numFmtId="167" fontId="0" fillId="31" borderId="5" xfId="0" applyNumberFormat="1" applyFill="1" applyBorder="1" applyAlignment="1">
      <alignment horizontal="center" vertical="center"/>
    </xf>
    <xf numFmtId="167" fontId="0" fillId="31" borderId="7" xfId="0" applyNumberFormat="1" applyFill="1" applyBorder="1" applyAlignment="1">
      <alignment horizontal="center" vertical="center"/>
    </xf>
    <xf numFmtId="167" fontId="0" fillId="31" borderId="6" xfId="0" applyNumberFormat="1" applyFill="1" applyBorder="1" applyAlignment="1">
      <alignment horizontal="center" vertical="center"/>
    </xf>
    <xf numFmtId="166" fontId="0" fillId="31" borderId="5" xfId="0" applyNumberFormat="1" applyFill="1" applyBorder="1" applyAlignment="1">
      <alignment horizontal="center" vertical="center"/>
    </xf>
    <xf numFmtId="166" fontId="0" fillId="31" borderId="7" xfId="0" applyNumberFormat="1" applyFill="1" applyBorder="1" applyAlignment="1">
      <alignment horizontal="center" vertical="center"/>
    </xf>
    <xf numFmtId="166" fontId="0" fillId="31" borderId="6" xfId="0" applyNumberFormat="1" applyFill="1" applyBorder="1" applyAlignment="1">
      <alignment horizontal="center" vertical="center"/>
    </xf>
    <xf numFmtId="171" fontId="0" fillId="31" borderId="5" xfId="0" applyNumberFormat="1" applyFill="1" applyBorder="1" applyAlignment="1">
      <alignment horizontal="center" vertical="center"/>
    </xf>
    <xf numFmtId="171" fontId="0" fillId="31" borderId="7" xfId="0" applyNumberFormat="1" applyFill="1" applyBorder="1" applyAlignment="1">
      <alignment horizontal="center" vertical="center"/>
    </xf>
    <xf numFmtId="171" fontId="0" fillId="31" borderId="6" xfId="0" applyNumberFormat="1" applyFill="1" applyBorder="1" applyAlignment="1">
      <alignment horizontal="center" vertical="center"/>
    </xf>
    <xf numFmtId="167" fontId="0" fillId="5" borderId="5" xfId="0" applyNumberFormat="1" applyFill="1" applyBorder="1" applyAlignment="1">
      <alignment horizontal="center" vertical="center"/>
    </xf>
    <xf numFmtId="167" fontId="0" fillId="5" borderId="7" xfId="0" applyNumberFormat="1" applyFill="1" applyBorder="1" applyAlignment="1">
      <alignment horizontal="center" vertical="center"/>
    </xf>
    <xf numFmtId="167" fontId="0" fillId="5" borderId="6" xfId="0" applyNumberFormat="1" applyFill="1" applyBorder="1" applyAlignment="1">
      <alignment horizontal="center" vertical="center"/>
    </xf>
    <xf numFmtId="171" fontId="0" fillId="5" borderId="7" xfId="0" applyNumberFormat="1" applyFill="1" applyBorder="1" applyAlignment="1">
      <alignment horizontal="center" vertical="center"/>
    </xf>
    <xf numFmtId="166" fontId="0" fillId="5" borderId="5" xfId="0" applyNumberFormat="1" applyFill="1" applyBorder="1" applyAlignment="1">
      <alignment horizontal="center" vertical="center"/>
    </xf>
    <xf numFmtId="166" fontId="0" fillId="5" borderId="7" xfId="0" applyNumberFormat="1" applyFill="1" applyBorder="1" applyAlignment="1">
      <alignment horizontal="center" vertical="center"/>
    </xf>
    <xf numFmtId="166" fontId="0" fillId="5" borderId="6" xfId="0" applyNumberFormat="1" applyFill="1" applyBorder="1" applyAlignment="1">
      <alignment horizontal="center" vertical="center"/>
    </xf>
    <xf numFmtId="167" fontId="0" fillId="8" borderId="5" xfId="0" applyNumberFormat="1" applyFill="1" applyBorder="1" applyAlignment="1">
      <alignment horizontal="center" vertical="center"/>
    </xf>
    <xf numFmtId="167" fontId="0" fillId="8" borderId="6" xfId="0" applyNumberFormat="1" applyFill="1" applyBorder="1" applyAlignment="1">
      <alignment horizontal="center" vertical="center"/>
    </xf>
    <xf numFmtId="166" fontId="0" fillId="8" borderId="5" xfId="0" applyNumberFormat="1" applyFill="1" applyBorder="1" applyAlignment="1">
      <alignment horizontal="center" vertical="center"/>
    </xf>
    <xf numFmtId="166" fontId="0" fillId="8" borderId="6" xfId="0" applyNumberFormat="1" applyFill="1" applyBorder="1" applyAlignment="1">
      <alignment horizontal="center" vertical="center"/>
    </xf>
    <xf numFmtId="14" fontId="0" fillId="16" borderId="7" xfId="0" applyNumberFormat="1" applyFill="1" applyBorder="1" applyAlignment="1">
      <alignment horizontal="center" vertical="center"/>
    </xf>
    <xf numFmtId="167" fontId="0" fillId="11" borderId="5" xfId="0" applyNumberFormat="1" applyFill="1" applyBorder="1" applyAlignment="1">
      <alignment horizontal="center" vertical="center"/>
    </xf>
    <xf numFmtId="167" fontId="0" fillId="11" borderId="7" xfId="0" applyNumberFormat="1" applyFill="1" applyBorder="1" applyAlignment="1">
      <alignment horizontal="center" vertical="center"/>
    </xf>
    <xf numFmtId="167" fontId="0" fillId="11" borderId="6" xfId="0" applyNumberFormat="1" applyFill="1" applyBorder="1" applyAlignment="1">
      <alignment horizontal="center" vertical="center"/>
    </xf>
    <xf numFmtId="171" fontId="0" fillId="11" borderId="5" xfId="0" applyNumberFormat="1" applyFill="1" applyBorder="1" applyAlignment="1">
      <alignment horizontal="center" vertical="center"/>
    </xf>
    <xf numFmtId="171" fontId="0" fillId="11" borderId="7" xfId="0" applyNumberFormat="1" applyFill="1" applyBorder="1" applyAlignment="1">
      <alignment horizontal="center" vertical="center"/>
    </xf>
    <xf numFmtId="171" fontId="0" fillId="11" borderId="6" xfId="0" applyNumberFormat="1" applyFill="1" applyBorder="1" applyAlignment="1">
      <alignment horizontal="center" vertical="center"/>
    </xf>
    <xf numFmtId="166" fontId="0" fillId="11" borderId="5" xfId="0" applyNumberFormat="1" applyFill="1" applyBorder="1" applyAlignment="1">
      <alignment horizontal="center" vertical="center"/>
    </xf>
    <xf numFmtId="166" fontId="0" fillId="11" borderId="7" xfId="0" applyNumberFormat="1" applyFill="1" applyBorder="1" applyAlignment="1">
      <alignment horizontal="center" vertical="center"/>
    </xf>
    <xf numFmtId="166" fontId="0" fillId="11" borderId="6" xfId="0" applyNumberFormat="1" applyFill="1" applyBorder="1" applyAlignment="1">
      <alignment horizontal="center" vertical="center"/>
    </xf>
    <xf numFmtId="167" fontId="0" fillId="8" borderId="7" xfId="0" applyNumberFormat="1" applyFill="1" applyBorder="1" applyAlignment="1">
      <alignment horizontal="center" vertical="center"/>
    </xf>
    <xf numFmtId="171" fontId="0" fillId="8" borderId="7" xfId="0" applyNumberFormat="1" applyFill="1" applyBorder="1" applyAlignment="1">
      <alignment horizontal="center" vertical="center"/>
    </xf>
    <xf numFmtId="166" fontId="0" fillId="8" borderId="7" xfId="0" applyNumberFormat="1" applyFill="1" applyBorder="1" applyAlignment="1">
      <alignment horizontal="center" vertical="center"/>
    </xf>
    <xf numFmtId="166" fontId="0" fillId="12" borderId="7" xfId="0" applyNumberFormat="1" applyFill="1" applyBorder="1" applyAlignment="1">
      <alignment horizontal="center" vertical="center"/>
    </xf>
    <xf numFmtId="167" fontId="0" fillId="13" borderId="15" xfId="0" applyNumberFormat="1" applyFill="1" applyBorder="1" applyAlignment="1">
      <alignment horizontal="center" vertical="center"/>
    </xf>
    <xf numFmtId="167" fontId="0" fillId="13" borderId="7" xfId="0" applyNumberFormat="1" applyFill="1" applyBorder="1" applyAlignment="1">
      <alignment horizontal="center" vertical="center"/>
    </xf>
    <xf numFmtId="167" fontId="0" fillId="13" borderId="23" xfId="0" applyNumberFormat="1" applyFill="1" applyBorder="1" applyAlignment="1">
      <alignment horizontal="center" vertical="center"/>
    </xf>
    <xf numFmtId="171" fontId="0" fillId="13" borderId="15" xfId="0" applyNumberFormat="1" applyFill="1" applyBorder="1" applyAlignment="1">
      <alignment horizontal="center" vertical="center"/>
    </xf>
    <xf numFmtId="171" fontId="0" fillId="13" borderId="7" xfId="0" applyNumberFormat="1" applyFill="1" applyBorder="1" applyAlignment="1">
      <alignment horizontal="center" vertical="center"/>
    </xf>
    <xf numFmtId="171" fontId="0" fillId="13" borderId="23" xfId="0" applyNumberFormat="1" applyFill="1" applyBorder="1" applyAlignment="1">
      <alignment horizontal="center" vertical="center"/>
    </xf>
    <xf numFmtId="166" fontId="0" fillId="13" borderId="16" xfId="0" applyNumberFormat="1" applyFill="1" applyBorder="1" applyAlignment="1">
      <alignment horizontal="center" vertical="center"/>
    </xf>
    <xf numFmtId="166" fontId="0" fillId="13" borderId="18" xfId="0" applyNumberFormat="1" applyFill="1" applyBorder="1" applyAlignment="1">
      <alignment horizontal="center" vertical="center"/>
    </xf>
    <xf numFmtId="166" fontId="0" fillId="13" borderId="24" xfId="0" applyNumberFormat="1" applyFill="1" applyBorder="1" applyAlignment="1">
      <alignment horizontal="center" vertical="center"/>
    </xf>
    <xf numFmtId="14" fontId="0" fillId="18" borderId="5" xfId="0" applyNumberFormat="1" applyFill="1" applyBorder="1" applyAlignment="1">
      <alignment horizontal="center" vertical="center"/>
    </xf>
    <xf numFmtId="14" fontId="0" fillId="18" borderId="7" xfId="0" applyNumberFormat="1" applyFill="1" applyBorder="1" applyAlignment="1">
      <alignment horizontal="center" vertical="center"/>
    </xf>
    <xf numFmtId="14" fontId="0" fillId="18" borderId="6" xfId="0" applyNumberFormat="1" applyFill="1" applyBorder="1" applyAlignment="1">
      <alignment horizontal="center" vertical="center"/>
    </xf>
    <xf numFmtId="167" fontId="0" fillId="18" borderId="5" xfId="0" applyNumberFormat="1" applyFill="1" applyBorder="1" applyAlignment="1">
      <alignment horizontal="center" vertical="center"/>
    </xf>
    <xf numFmtId="167" fontId="0" fillId="18" borderId="7" xfId="0" applyNumberFormat="1" applyFill="1" applyBorder="1" applyAlignment="1">
      <alignment horizontal="center" vertical="center"/>
    </xf>
    <xf numFmtId="167" fontId="0" fillId="18" borderId="6" xfId="0" applyNumberFormat="1" applyFill="1" applyBorder="1" applyAlignment="1">
      <alignment horizontal="center" vertical="center"/>
    </xf>
    <xf numFmtId="166" fontId="0" fillId="18" borderId="5" xfId="0" applyNumberFormat="1" applyFill="1" applyBorder="1" applyAlignment="1">
      <alignment horizontal="center" vertical="center"/>
    </xf>
    <xf numFmtId="166" fontId="0" fillId="18" borderId="7" xfId="0" applyNumberFormat="1" applyFill="1" applyBorder="1" applyAlignment="1">
      <alignment horizontal="center" vertical="center"/>
    </xf>
    <xf numFmtId="166" fontId="0" fillId="18" borderId="6" xfId="0" applyNumberFormat="1" applyFill="1" applyBorder="1" applyAlignment="1">
      <alignment horizontal="center" vertical="center"/>
    </xf>
    <xf numFmtId="166" fontId="0" fillId="28" borderId="5" xfId="0" applyNumberFormat="1" applyFill="1" applyBorder="1" applyAlignment="1">
      <alignment horizontal="center" vertical="center"/>
    </xf>
    <xf numFmtId="166" fontId="0" fillId="28" borderId="6" xfId="0" applyNumberFormat="1" applyFill="1" applyBorder="1" applyAlignment="1">
      <alignment horizontal="center" vertical="center"/>
    </xf>
    <xf numFmtId="166" fontId="0" fillId="29" borderId="5" xfId="0" applyNumberFormat="1" applyFill="1" applyBorder="1" applyAlignment="1">
      <alignment horizontal="center" vertical="center"/>
    </xf>
    <xf numFmtId="166" fontId="0" fillId="29" borderId="6" xfId="0" applyNumberFormat="1" applyFill="1" applyBorder="1" applyAlignment="1">
      <alignment horizontal="center" vertical="center"/>
    </xf>
    <xf numFmtId="166" fontId="0" fillId="10" borderId="5" xfId="0" applyNumberFormat="1" applyFill="1" applyBorder="1" applyAlignment="1">
      <alignment horizontal="center" vertical="center"/>
    </xf>
    <xf numFmtId="166" fontId="0" fillId="10" borderId="7" xfId="0" applyNumberFormat="1" applyFill="1" applyBorder="1" applyAlignment="1">
      <alignment horizontal="center" vertical="center"/>
    </xf>
    <xf numFmtId="166" fontId="0" fillId="10" borderId="6" xfId="0" applyNumberFormat="1" applyFill="1" applyBorder="1" applyAlignment="1">
      <alignment horizontal="center" vertical="center"/>
    </xf>
    <xf numFmtId="167" fontId="0" fillId="28" borderId="5" xfId="0" applyNumberFormat="1" applyFill="1" applyBorder="1" applyAlignment="1">
      <alignment horizontal="center" vertical="center"/>
    </xf>
    <xf numFmtId="167" fontId="0" fillId="28" borderId="6" xfId="0" applyNumberFormat="1" applyFill="1" applyBorder="1" applyAlignment="1">
      <alignment horizontal="center" vertical="center"/>
    </xf>
    <xf numFmtId="171" fontId="0" fillId="28" borderId="5" xfId="0" applyNumberFormat="1" applyFill="1" applyBorder="1" applyAlignment="1">
      <alignment horizontal="center" vertical="center"/>
    </xf>
    <xf numFmtId="171" fontId="0" fillId="28" borderId="6" xfId="0" applyNumberFormat="1" applyFill="1" applyBorder="1" applyAlignment="1">
      <alignment horizontal="center" vertical="center"/>
    </xf>
    <xf numFmtId="167" fontId="0" fillId="29" borderId="5" xfId="0" applyNumberFormat="1" applyFill="1" applyBorder="1" applyAlignment="1">
      <alignment horizontal="center" vertical="center"/>
    </xf>
    <xf numFmtId="167" fontId="0" fillId="29" borderId="6" xfId="0" applyNumberFormat="1" applyFill="1" applyBorder="1" applyAlignment="1">
      <alignment horizontal="center" vertical="center"/>
    </xf>
    <xf numFmtId="171" fontId="0" fillId="29" borderId="5" xfId="0" applyNumberFormat="1" applyFill="1" applyBorder="1" applyAlignment="1">
      <alignment horizontal="center" vertical="center"/>
    </xf>
    <xf numFmtId="171" fontId="0" fillId="29" borderId="6" xfId="0" applyNumberFormat="1" applyFill="1" applyBorder="1" applyAlignment="1">
      <alignment horizontal="center" vertical="center"/>
    </xf>
    <xf numFmtId="167" fontId="0" fillId="10" borderId="5" xfId="0" applyNumberFormat="1" applyFill="1" applyBorder="1" applyAlignment="1">
      <alignment horizontal="center" vertical="center"/>
    </xf>
    <xf numFmtId="167" fontId="0" fillId="10" borderId="7" xfId="0" applyNumberFormat="1" applyFill="1" applyBorder="1" applyAlignment="1">
      <alignment horizontal="center" vertical="center"/>
    </xf>
    <xf numFmtId="167" fontId="0" fillId="10" borderId="6" xfId="0" applyNumberFormat="1" applyFill="1" applyBorder="1" applyAlignment="1">
      <alignment horizontal="center" vertical="center"/>
    </xf>
    <xf numFmtId="171" fontId="0" fillId="10" borderId="5" xfId="0" applyNumberFormat="1" applyFill="1" applyBorder="1" applyAlignment="1">
      <alignment horizontal="center" vertical="center"/>
    </xf>
    <xf numFmtId="171" fontId="0" fillId="10" borderId="7" xfId="0" applyNumberFormat="1" applyFill="1" applyBorder="1" applyAlignment="1">
      <alignment horizontal="center" vertical="center"/>
    </xf>
    <xf numFmtId="171" fontId="0" fillId="10" borderId="6" xfId="0" applyNumberFormat="1" applyFill="1" applyBorder="1" applyAlignment="1">
      <alignment horizontal="center" vertical="center"/>
    </xf>
    <xf numFmtId="14" fontId="0" fillId="10" borderId="5" xfId="0" applyNumberFormat="1" applyFill="1" applyBorder="1" applyAlignment="1">
      <alignment horizontal="center" vertical="center"/>
    </xf>
    <xf numFmtId="14" fontId="0" fillId="10" borderId="6" xfId="0" applyNumberFormat="1" applyFill="1" applyBorder="1" applyAlignment="1">
      <alignment horizontal="center" vertical="center"/>
    </xf>
    <xf numFmtId="14" fontId="0" fillId="28" borderId="5" xfId="0" applyNumberFormat="1" applyFill="1" applyBorder="1" applyAlignment="1">
      <alignment horizontal="center" vertical="center"/>
    </xf>
    <xf numFmtId="14" fontId="0" fillId="28" borderId="6" xfId="0" applyNumberFormat="1" applyFill="1" applyBorder="1" applyAlignment="1">
      <alignment horizontal="center" vertical="center"/>
    </xf>
    <xf numFmtId="14" fontId="0" fillId="27" borderId="5" xfId="0" applyNumberFormat="1" applyFill="1" applyBorder="1" applyAlignment="1">
      <alignment horizontal="center" vertical="center"/>
    </xf>
    <xf numFmtId="14" fontId="0" fillId="27" borderId="7" xfId="0" applyNumberFormat="1" applyFill="1" applyBorder="1" applyAlignment="1">
      <alignment horizontal="center" vertical="center"/>
    </xf>
    <xf numFmtId="14" fontId="0" fillId="27" borderId="6" xfId="0" applyNumberFormat="1" applyFill="1" applyBorder="1" applyAlignment="1">
      <alignment horizontal="center" vertical="center"/>
    </xf>
    <xf numFmtId="14" fontId="0" fillId="7" borderId="7" xfId="0" applyNumberFormat="1" applyFill="1" applyBorder="1" applyAlignment="1">
      <alignment horizontal="center" vertical="center"/>
    </xf>
    <xf numFmtId="14" fontId="0" fillId="11" borderId="5" xfId="0" applyNumberFormat="1" applyFill="1" applyBorder="1" applyAlignment="1">
      <alignment horizontal="center" vertical="center"/>
    </xf>
    <xf numFmtId="14" fontId="0" fillId="11" borderId="7" xfId="0" applyNumberFormat="1" applyFill="1" applyBorder="1" applyAlignment="1">
      <alignment horizontal="center" vertical="center"/>
    </xf>
    <xf numFmtId="14" fontId="0" fillId="11" borderId="6" xfId="0" applyNumberFormat="1" applyFill="1" applyBorder="1" applyAlignment="1">
      <alignment horizontal="center" vertical="center"/>
    </xf>
    <xf numFmtId="170" fontId="0" fillId="19" borderId="5" xfId="0" applyNumberFormat="1" applyFill="1" applyBorder="1" applyAlignment="1">
      <alignment horizontal="center" vertical="center"/>
    </xf>
    <xf numFmtId="170" fontId="0" fillId="19" borderId="7" xfId="0" applyNumberFormat="1" applyFill="1" applyBorder="1" applyAlignment="1">
      <alignment horizontal="center" vertical="center"/>
    </xf>
    <xf numFmtId="170" fontId="0" fillId="19" borderId="6" xfId="0" applyNumberFormat="1" applyFill="1" applyBorder="1" applyAlignment="1">
      <alignment horizontal="center" vertical="center"/>
    </xf>
    <xf numFmtId="171" fontId="0" fillId="27" borderId="5" xfId="0" applyNumberFormat="1" applyFill="1" applyBorder="1" applyAlignment="1">
      <alignment horizontal="center" vertical="center"/>
    </xf>
    <xf numFmtId="171" fontId="0" fillId="27" borderId="7" xfId="0" applyNumberFormat="1" applyFill="1" applyBorder="1" applyAlignment="1">
      <alignment horizontal="center" vertical="center"/>
    </xf>
    <xf numFmtId="171" fontId="0" fillId="27" borderId="6" xfId="0" applyNumberFormat="1" applyFill="1" applyBorder="1" applyAlignment="1">
      <alignment horizontal="center" vertical="center"/>
    </xf>
    <xf numFmtId="167" fontId="0" fillId="27" borderId="5" xfId="0" applyNumberFormat="1" applyFill="1" applyBorder="1" applyAlignment="1">
      <alignment horizontal="center" vertical="center"/>
    </xf>
    <xf numFmtId="167" fontId="0" fillId="27" borderId="7" xfId="0" applyNumberFormat="1" applyFill="1" applyBorder="1" applyAlignment="1">
      <alignment horizontal="center" vertical="center"/>
    </xf>
    <xf numFmtId="167" fontId="0" fillId="27" borderId="6" xfId="0" applyNumberFormat="1" applyFill="1" applyBorder="1" applyAlignment="1">
      <alignment horizontal="center" vertical="center"/>
    </xf>
    <xf numFmtId="166" fontId="0" fillId="19" borderId="5" xfId="0" applyNumberFormat="1" applyFill="1" applyBorder="1" applyAlignment="1">
      <alignment horizontal="center" vertical="center"/>
    </xf>
    <xf numFmtId="166" fontId="0" fillId="19" borderId="7" xfId="0" applyNumberFormat="1" applyFill="1" applyBorder="1" applyAlignment="1">
      <alignment horizontal="center" vertical="center"/>
    </xf>
    <xf numFmtId="166" fontId="0" fillId="19" borderId="6" xfId="0" applyNumberFormat="1" applyFill="1" applyBorder="1" applyAlignment="1">
      <alignment horizontal="center" vertical="center"/>
    </xf>
    <xf numFmtId="167" fontId="0" fillId="19" borderId="5" xfId="0" applyNumberFormat="1" applyFill="1" applyBorder="1" applyAlignment="1">
      <alignment horizontal="center" vertical="center"/>
    </xf>
    <xf numFmtId="167" fontId="0" fillId="19" borderId="7" xfId="0" applyNumberFormat="1" applyFill="1" applyBorder="1" applyAlignment="1">
      <alignment horizontal="center" vertical="center"/>
    </xf>
    <xf numFmtId="167" fontId="0" fillId="19" borderId="6" xfId="0" applyNumberFormat="1" applyFill="1" applyBorder="1" applyAlignment="1">
      <alignment horizontal="center" vertical="center"/>
    </xf>
    <xf numFmtId="170" fontId="0" fillId="25" borderId="5" xfId="0" applyNumberFormat="1" applyFill="1" applyBorder="1" applyAlignment="1">
      <alignment horizontal="center" vertical="center"/>
    </xf>
    <xf numFmtId="170" fontId="0" fillId="25" borderId="6" xfId="0" applyNumberFormat="1" applyFill="1" applyBorder="1" applyAlignment="1">
      <alignment horizontal="center" vertical="center"/>
    </xf>
    <xf numFmtId="167" fontId="0" fillId="25" borderId="5" xfId="0" applyNumberFormat="1" applyFill="1" applyBorder="1" applyAlignment="1">
      <alignment horizontal="center" vertical="center"/>
    </xf>
    <xf numFmtId="167" fontId="0" fillId="25" borderId="6" xfId="0" applyNumberFormat="1" applyFill="1" applyBorder="1" applyAlignment="1">
      <alignment horizontal="center" vertical="center"/>
    </xf>
    <xf numFmtId="166" fontId="0" fillId="9" borderId="5" xfId="0" applyNumberFormat="1" applyFill="1" applyBorder="1" applyAlignment="1">
      <alignment horizontal="center" vertical="center"/>
    </xf>
    <xf numFmtId="166" fontId="0" fillId="9" borderId="7" xfId="0" applyNumberFormat="1" applyFill="1" applyBorder="1" applyAlignment="1">
      <alignment horizontal="center" vertical="center"/>
    </xf>
    <xf numFmtId="166" fontId="0" fillId="9" borderId="6" xfId="0" applyNumberForma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71" fontId="0" fillId="19" borderId="5" xfId="0" applyNumberFormat="1" applyFill="1" applyBorder="1" applyAlignment="1">
      <alignment horizontal="center" vertical="center"/>
    </xf>
    <xf numFmtId="171" fontId="0" fillId="19" borderId="7" xfId="0" applyNumberFormat="1" applyFill="1" applyBorder="1" applyAlignment="1">
      <alignment horizontal="center" vertical="center"/>
    </xf>
    <xf numFmtId="171" fontId="0" fillId="19" borderId="6" xfId="0" applyNumberFormat="1" applyFill="1" applyBorder="1" applyAlignment="1">
      <alignment horizontal="center" vertical="center"/>
    </xf>
    <xf numFmtId="167" fontId="2" fillId="9" borderId="5" xfId="0" applyNumberFormat="1" applyFont="1" applyFill="1" applyBorder="1" applyAlignment="1">
      <alignment horizontal="center" vertical="center"/>
    </xf>
    <xf numFmtId="167" fontId="2" fillId="9" borderId="7" xfId="0" applyNumberFormat="1" applyFont="1" applyFill="1" applyBorder="1" applyAlignment="1">
      <alignment horizontal="center" vertical="center"/>
    </xf>
    <xf numFmtId="167" fontId="2" fillId="9" borderId="6" xfId="0" applyNumberFormat="1" applyFont="1" applyFill="1" applyBorder="1" applyAlignment="1">
      <alignment horizontal="center" vertical="center"/>
    </xf>
    <xf numFmtId="171" fontId="2" fillId="9" borderId="5" xfId="0" applyNumberFormat="1" applyFont="1" applyFill="1" applyBorder="1" applyAlignment="1">
      <alignment horizontal="center" vertical="center"/>
    </xf>
    <xf numFmtId="171" fontId="2" fillId="9" borderId="7" xfId="0" applyNumberFormat="1" applyFont="1" applyFill="1" applyBorder="1" applyAlignment="1">
      <alignment horizontal="center" vertical="center"/>
    </xf>
    <xf numFmtId="171" fontId="2" fillId="9" borderId="6" xfId="0" applyNumberFormat="1" applyFont="1" applyFill="1" applyBorder="1" applyAlignment="1">
      <alignment horizontal="center" vertical="center"/>
    </xf>
    <xf numFmtId="170" fontId="0" fillId="16" borderId="5" xfId="0" applyNumberFormat="1" applyFill="1" applyBorder="1" applyAlignment="1">
      <alignment horizontal="center" vertical="center"/>
    </xf>
    <xf numFmtId="170" fontId="0" fillId="16" borderId="7" xfId="0" applyNumberFormat="1" applyFill="1" applyBorder="1" applyAlignment="1">
      <alignment horizontal="center" vertical="center"/>
    </xf>
    <xf numFmtId="170" fontId="0" fillId="16" borderId="6" xfId="0" applyNumberFormat="1" applyFill="1" applyBorder="1" applyAlignment="1">
      <alignment horizontal="center" vertical="center"/>
    </xf>
    <xf numFmtId="166" fontId="0" fillId="25" borderId="5" xfId="0" applyNumberFormat="1" applyFill="1" applyBorder="1" applyAlignment="1">
      <alignment horizontal="center" vertical="center"/>
    </xf>
    <xf numFmtId="166" fontId="0" fillId="25" borderId="6" xfId="0" applyNumberFormat="1" applyFill="1" applyBorder="1" applyAlignment="1">
      <alignment horizontal="center" vertical="center"/>
    </xf>
    <xf numFmtId="166" fontId="0" fillId="23" borderId="5" xfId="0" applyNumberFormat="1" applyFill="1" applyBorder="1" applyAlignment="1">
      <alignment horizontal="center" vertical="center"/>
    </xf>
    <xf numFmtId="166" fontId="0" fillId="23" borderId="7" xfId="0" applyNumberFormat="1" applyFill="1" applyBorder="1" applyAlignment="1">
      <alignment horizontal="center" vertical="center"/>
    </xf>
    <xf numFmtId="166" fontId="0" fillId="23" borderId="6" xfId="0" applyNumberFormat="1" applyFill="1" applyBorder="1" applyAlignment="1">
      <alignment horizontal="center" vertical="center"/>
    </xf>
    <xf numFmtId="170" fontId="0" fillId="5" borderId="5" xfId="0" applyNumberFormat="1" applyFill="1" applyBorder="1" applyAlignment="1">
      <alignment horizontal="center" vertical="center"/>
    </xf>
    <xf numFmtId="170" fontId="0" fillId="5" borderId="7" xfId="0" applyNumberFormat="1" applyFill="1" applyBorder="1" applyAlignment="1">
      <alignment horizontal="center" vertical="center"/>
    </xf>
    <xf numFmtId="170" fontId="0" fillId="5" borderId="6" xfId="0" applyNumberFormat="1" applyFill="1" applyBorder="1" applyAlignment="1">
      <alignment horizontal="center" vertical="center"/>
    </xf>
    <xf numFmtId="14" fontId="0" fillId="12" borderId="7" xfId="0" applyNumberFormat="1" applyFill="1" applyBorder="1" applyAlignment="1">
      <alignment horizontal="center" vertical="center"/>
    </xf>
    <xf numFmtId="14" fontId="0" fillId="9" borderId="5" xfId="0" applyNumberFormat="1" applyFill="1" applyBorder="1" applyAlignment="1">
      <alignment horizontal="center" vertical="center"/>
    </xf>
    <xf numFmtId="14" fontId="0" fillId="9" borderId="7" xfId="0" applyNumberFormat="1" applyFill="1" applyBorder="1" applyAlignment="1">
      <alignment horizontal="center" vertical="center"/>
    </xf>
    <xf numFmtId="14" fontId="0" fillId="9" borderId="6" xfId="0" applyNumberFormat="1" applyFill="1" applyBorder="1" applyAlignment="1">
      <alignment horizontal="center" vertical="center"/>
    </xf>
    <xf numFmtId="167" fontId="0" fillId="9" borderId="5" xfId="0" applyNumberFormat="1" applyFill="1" applyBorder="1" applyAlignment="1">
      <alignment horizontal="center" vertical="center"/>
    </xf>
    <xf numFmtId="167" fontId="0" fillId="9" borderId="7" xfId="0" applyNumberFormat="1" applyFill="1" applyBorder="1" applyAlignment="1">
      <alignment horizontal="center" vertical="center"/>
    </xf>
    <xf numFmtId="167" fontId="0" fillId="9" borderId="6" xfId="0" applyNumberFormat="1" applyFill="1" applyBorder="1" applyAlignment="1">
      <alignment horizontal="center" vertical="center"/>
    </xf>
    <xf numFmtId="170" fontId="0" fillId="9" borderId="5" xfId="0" applyNumberFormat="1" applyFill="1" applyBorder="1" applyAlignment="1">
      <alignment horizontal="center" vertical="center"/>
    </xf>
    <xf numFmtId="170" fontId="0" fillId="9" borderId="7" xfId="0" applyNumberFormat="1" applyFill="1" applyBorder="1" applyAlignment="1">
      <alignment horizontal="center" vertical="center"/>
    </xf>
    <xf numFmtId="170" fontId="0" fillId="9" borderId="6" xfId="0" applyNumberFormat="1" applyFill="1" applyBorder="1" applyAlignment="1">
      <alignment horizontal="center" vertical="center"/>
    </xf>
    <xf numFmtId="14" fontId="0" fillId="23" borderId="7" xfId="0" applyNumberFormat="1" applyFill="1" applyBorder="1" applyAlignment="1">
      <alignment horizontal="center" vertical="center"/>
    </xf>
    <xf numFmtId="167" fontId="0" fillId="24" borderId="5" xfId="0" applyNumberFormat="1" applyFill="1" applyBorder="1" applyAlignment="1">
      <alignment horizontal="center" vertical="center"/>
    </xf>
    <xf numFmtId="167" fontId="0" fillId="24" borderId="7" xfId="0" applyNumberFormat="1" applyFill="1" applyBorder="1" applyAlignment="1">
      <alignment horizontal="center" vertical="center"/>
    </xf>
    <xf numFmtId="167" fontId="0" fillId="24" borderId="6" xfId="0" applyNumberFormat="1" applyFill="1" applyBorder="1" applyAlignment="1">
      <alignment horizontal="center" vertical="center"/>
    </xf>
    <xf numFmtId="170" fontId="0" fillId="23" borderId="5" xfId="0" applyNumberFormat="1" applyFill="1" applyBorder="1" applyAlignment="1">
      <alignment horizontal="center" vertical="center"/>
    </xf>
    <xf numFmtId="170" fontId="0" fillId="23" borderId="7" xfId="0" applyNumberFormat="1" applyFill="1" applyBorder="1" applyAlignment="1">
      <alignment horizontal="center" vertical="center"/>
    </xf>
    <xf numFmtId="170" fontId="0" fillId="23" borderId="6" xfId="0" applyNumberFormat="1" applyFill="1" applyBorder="1" applyAlignment="1">
      <alignment horizontal="center" vertical="center"/>
    </xf>
    <xf numFmtId="167" fontId="0" fillId="21" borderId="5" xfId="0" applyNumberFormat="1" applyFill="1" applyBorder="1" applyAlignment="1">
      <alignment horizontal="center" vertical="center"/>
    </xf>
    <xf numFmtId="167" fontId="0" fillId="21" borderId="7" xfId="0" applyNumberFormat="1" applyFill="1" applyBorder="1" applyAlignment="1">
      <alignment horizontal="center" vertical="center"/>
    </xf>
    <xf numFmtId="167" fontId="0" fillId="21" borderId="6" xfId="0" applyNumberFormat="1" applyFill="1" applyBorder="1" applyAlignment="1">
      <alignment horizontal="center" vertical="center"/>
    </xf>
    <xf numFmtId="170" fontId="0" fillId="20" borderId="5" xfId="0" applyNumberFormat="1" applyFill="1" applyBorder="1" applyAlignment="1">
      <alignment horizontal="center" vertical="center"/>
    </xf>
    <xf numFmtId="170" fontId="0" fillId="20" borderId="7" xfId="0" applyNumberFormat="1" applyFill="1" applyBorder="1" applyAlignment="1">
      <alignment horizontal="center" vertical="center"/>
    </xf>
    <xf numFmtId="170" fontId="0" fillId="20" borderId="6" xfId="0" applyNumberFormat="1" applyFill="1" applyBorder="1" applyAlignment="1">
      <alignment horizontal="center" vertical="center"/>
    </xf>
    <xf numFmtId="170" fontId="0" fillId="8" borderId="5" xfId="0" applyNumberFormat="1" applyFill="1" applyBorder="1" applyAlignment="1">
      <alignment horizontal="center" vertical="center"/>
    </xf>
    <xf numFmtId="170" fontId="0" fillId="8" borderId="7" xfId="0" applyNumberFormat="1" applyFill="1" applyBorder="1" applyAlignment="1">
      <alignment horizontal="center" vertical="center"/>
    </xf>
    <xf numFmtId="170" fontId="0" fillId="8" borderId="6" xfId="0" applyNumberFormat="1" applyFill="1" applyBorder="1" applyAlignment="1">
      <alignment horizontal="center" vertical="center"/>
    </xf>
    <xf numFmtId="168" fontId="0" fillId="5" borderId="9" xfId="0" applyNumberFormat="1" applyFill="1" applyBorder="1" applyAlignment="1">
      <alignment horizontal="center" vertical="center"/>
    </xf>
    <xf numFmtId="168" fontId="0" fillId="5" borderId="1" xfId="0" applyNumberFormat="1" applyFill="1" applyBorder="1" applyAlignment="1">
      <alignment horizontal="center" vertical="center"/>
    </xf>
    <xf numFmtId="168" fontId="0" fillId="13" borderId="9" xfId="0" applyNumberFormat="1" applyFill="1" applyBorder="1" applyAlignment="1">
      <alignment horizontal="center" vertical="center"/>
    </xf>
    <xf numFmtId="168" fontId="0" fillId="13" borderId="10" xfId="0" applyNumberFormat="1" applyFill="1" applyBorder="1" applyAlignment="1">
      <alignment horizontal="center" vertical="center"/>
    </xf>
    <xf numFmtId="168" fontId="0" fillId="13" borderId="1" xfId="0" applyNumberFormat="1" applyFill="1" applyBorder="1" applyAlignment="1">
      <alignment horizontal="center" vertical="center"/>
    </xf>
    <xf numFmtId="167" fontId="0" fillId="13" borderId="5" xfId="0" applyNumberFormat="1" applyFill="1" applyBorder="1" applyAlignment="1">
      <alignment horizontal="center" vertical="center"/>
    </xf>
    <xf numFmtId="167" fontId="0" fillId="13" borderId="6" xfId="0" applyNumberFormat="1" applyFill="1" applyBorder="1" applyAlignment="1">
      <alignment horizontal="center" vertical="center"/>
    </xf>
    <xf numFmtId="170" fontId="0" fillId="13" borderId="9" xfId="0" applyNumberFormat="1" applyFill="1" applyBorder="1" applyAlignment="1">
      <alignment horizontal="center" vertical="center"/>
    </xf>
    <xf numFmtId="170" fontId="0" fillId="13" borderId="1" xfId="0" applyNumberFormat="1" applyFill="1" applyBorder="1" applyAlignment="1">
      <alignment horizontal="center" vertical="center"/>
    </xf>
    <xf numFmtId="170" fontId="0" fillId="12" borderId="5" xfId="0" applyNumberFormat="1" applyFill="1" applyBorder="1" applyAlignment="1">
      <alignment horizontal="center" vertical="center"/>
    </xf>
    <xf numFmtId="170" fontId="0" fillId="12" borderId="7" xfId="0" applyNumberFormat="1" applyFill="1" applyBorder="1" applyAlignment="1">
      <alignment horizontal="center" vertical="center"/>
    </xf>
    <xf numFmtId="170" fontId="0" fillId="12" borderId="6" xfId="0" applyNumberFormat="1" applyFill="1" applyBorder="1" applyAlignment="1">
      <alignment horizontal="center" vertical="center"/>
    </xf>
    <xf numFmtId="167" fontId="0" fillId="17" borderId="5" xfId="0" applyNumberFormat="1" applyFill="1" applyBorder="1" applyAlignment="1">
      <alignment horizontal="center" vertical="center"/>
    </xf>
    <xf numFmtId="167" fontId="0" fillId="17" borderId="7" xfId="0" applyNumberFormat="1" applyFill="1" applyBorder="1" applyAlignment="1">
      <alignment horizontal="center" vertical="center"/>
    </xf>
    <xf numFmtId="167" fontId="0" fillId="17" borderId="6" xfId="0" applyNumberFormat="1" applyFill="1" applyBorder="1" applyAlignment="1">
      <alignment horizontal="center" vertical="center"/>
    </xf>
    <xf numFmtId="170" fontId="0" fillId="17" borderId="5" xfId="0" applyNumberFormat="1" applyFill="1" applyBorder="1" applyAlignment="1">
      <alignment horizontal="center" vertical="center"/>
    </xf>
    <xf numFmtId="170" fontId="0" fillId="17" borderId="7" xfId="0" applyNumberFormat="1" applyFill="1" applyBorder="1" applyAlignment="1">
      <alignment horizontal="center" vertical="center"/>
    </xf>
    <xf numFmtId="170" fontId="0" fillId="17" borderId="6" xfId="0" applyNumberFormat="1" applyFill="1" applyBorder="1" applyAlignment="1">
      <alignment horizontal="center" vertical="center"/>
    </xf>
    <xf numFmtId="14" fontId="0" fillId="21" borderId="5" xfId="0" applyNumberFormat="1" applyFill="1" applyBorder="1" applyAlignment="1">
      <alignment horizontal="center" vertical="center"/>
    </xf>
    <xf numFmtId="14" fontId="0" fillId="21" borderId="6" xfId="0" applyNumberFormat="1" applyFill="1" applyBorder="1" applyAlignment="1">
      <alignment horizontal="center" vertical="center"/>
    </xf>
    <xf numFmtId="14" fontId="0" fillId="15" borderId="5" xfId="0" applyNumberFormat="1" applyFill="1" applyBorder="1" applyAlignment="1">
      <alignment horizontal="center" vertical="center"/>
    </xf>
    <xf numFmtId="14" fontId="0" fillId="15" borderId="7" xfId="0" applyNumberFormat="1" applyFill="1" applyBorder="1" applyAlignment="1">
      <alignment horizontal="center" vertical="center"/>
    </xf>
    <xf numFmtId="14" fontId="0" fillId="15" borderId="6" xfId="0" applyNumberFormat="1" applyFill="1" applyBorder="1" applyAlignment="1">
      <alignment horizontal="center" vertical="center"/>
    </xf>
    <xf numFmtId="14" fontId="0" fillId="19" borderId="5" xfId="0" applyNumberFormat="1" applyFill="1" applyBorder="1" applyAlignment="1">
      <alignment horizontal="center" vertical="center"/>
    </xf>
    <xf numFmtId="14" fontId="0" fillId="19" borderId="6" xfId="0" applyNumberForma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right" vertical="center"/>
    </xf>
    <xf numFmtId="14" fontId="0" fillId="5" borderId="7" xfId="0" applyNumberFormat="1" applyFill="1" applyBorder="1" applyAlignment="1">
      <alignment horizontal="right" vertical="center"/>
    </xf>
    <xf numFmtId="14" fontId="0" fillId="5" borderId="6" xfId="0" applyNumberFormat="1" applyFill="1" applyBorder="1" applyAlignment="1">
      <alignment horizontal="right" vertical="center"/>
    </xf>
    <xf numFmtId="14" fontId="0" fillId="5" borderId="9" xfId="0" applyNumberFormat="1" applyFill="1" applyBorder="1" applyAlignment="1">
      <alignment horizontal="center" vertical="center"/>
    </xf>
    <xf numFmtId="14" fontId="0" fillId="5" borderId="10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8" fontId="0" fillId="5" borderId="10" xfId="0" applyNumberFormat="1" applyFill="1" applyBorder="1" applyAlignment="1">
      <alignment horizontal="center" vertical="center"/>
    </xf>
    <xf numFmtId="168" fontId="0" fillId="5" borderId="12" xfId="0" applyNumberFormat="1" applyFill="1" applyBorder="1" applyAlignment="1">
      <alignment horizontal="center" vertical="center"/>
    </xf>
    <xf numFmtId="166" fontId="6" fillId="5" borderId="5" xfId="0" applyNumberFormat="1" applyFont="1" applyFill="1" applyBorder="1" applyAlignment="1">
      <alignment horizontal="center" vertical="center"/>
    </xf>
    <xf numFmtId="166" fontId="5" fillId="5" borderId="5" xfId="0" applyNumberFormat="1" applyFont="1" applyFill="1" applyBorder="1" applyAlignment="1">
      <alignment horizontal="center" vertical="center"/>
    </xf>
    <xf numFmtId="166" fontId="5" fillId="5" borderId="7" xfId="0" applyNumberFormat="1" applyFont="1" applyFill="1" applyBorder="1" applyAlignment="1">
      <alignment horizontal="center" vertical="center"/>
    </xf>
    <xf numFmtId="166" fontId="5" fillId="5" borderId="6" xfId="0" applyNumberFormat="1" applyFont="1" applyFill="1" applyBorder="1" applyAlignment="1">
      <alignment horizontal="center" vertical="center"/>
    </xf>
    <xf numFmtId="167" fontId="5" fillId="5" borderId="5" xfId="0" applyNumberFormat="1" applyFont="1" applyFill="1" applyBorder="1" applyAlignment="1">
      <alignment horizontal="center" vertical="center"/>
    </xf>
    <xf numFmtId="167" fontId="5" fillId="5" borderId="7" xfId="0" applyNumberFormat="1" applyFont="1" applyFill="1" applyBorder="1" applyAlignment="1">
      <alignment horizontal="center" vertical="center"/>
    </xf>
    <xf numFmtId="167" fontId="5" fillId="5" borderId="6" xfId="0" applyNumberFormat="1" applyFont="1" applyFill="1" applyBorder="1" applyAlignment="1">
      <alignment horizontal="center" vertical="center"/>
    </xf>
    <xf numFmtId="167" fontId="0" fillId="5" borderId="9" xfId="0" applyNumberForma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166" fontId="14" fillId="5" borderId="5" xfId="0" applyNumberFormat="1" applyFont="1" applyFill="1" applyBorder="1" applyAlignment="1">
      <alignment horizontal="center" vertical="center"/>
    </xf>
    <xf numFmtId="166" fontId="14" fillId="5" borderId="7" xfId="0" applyNumberFormat="1" applyFont="1" applyFill="1" applyBorder="1" applyAlignment="1">
      <alignment horizontal="center" vertical="center"/>
    </xf>
    <xf numFmtId="166" fontId="14" fillId="5" borderId="6" xfId="0" applyNumberFormat="1" applyFont="1" applyFill="1" applyBorder="1" applyAlignment="1">
      <alignment horizontal="center" vertical="center"/>
    </xf>
    <xf numFmtId="166" fontId="0" fillId="5" borderId="2" xfId="0" applyNumberFormat="1" applyFill="1" applyBorder="1" applyAlignment="1">
      <alignment horizontal="center" vertical="center"/>
    </xf>
    <xf numFmtId="166" fontId="0" fillId="5" borderId="2" xfId="0" applyNumberFormat="1" applyFill="1" applyBorder="1" applyAlignment="1">
      <alignment vertical="center"/>
    </xf>
    <xf numFmtId="166" fontId="13" fillId="11" borderId="8" xfId="0" applyNumberFormat="1" applyFont="1" applyFill="1" applyBorder="1" applyAlignment="1">
      <alignment horizontal="center" vertical="center"/>
    </xf>
    <xf numFmtId="166" fontId="13" fillId="11" borderId="3" xfId="0" applyNumberFormat="1" applyFont="1" applyFill="1" applyBorder="1" applyAlignment="1">
      <alignment horizontal="center" vertical="center"/>
    </xf>
    <xf numFmtId="166" fontId="13" fillId="11" borderId="12" xfId="0" applyNumberFormat="1" applyFont="1" applyFill="1" applyBorder="1" applyAlignment="1">
      <alignment horizontal="center" vertical="center"/>
    </xf>
    <xf numFmtId="167" fontId="0" fillId="5" borderId="2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right" vertical="center"/>
    </xf>
    <xf numFmtId="0" fontId="0" fillId="5" borderId="12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right" vertical="center"/>
    </xf>
    <xf numFmtId="14" fontId="0" fillId="5" borderId="12" xfId="0" applyNumberFormat="1" applyFill="1" applyBorder="1" applyAlignment="1">
      <alignment horizontal="center" vertical="center"/>
    </xf>
    <xf numFmtId="14" fontId="0" fillId="5" borderId="12" xfId="0" applyNumberFormat="1" applyFill="1" applyBorder="1" applyAlignment="1">
      <alignment horizontal="right" vertical="center"/>
    </xf>
    <xf numFmtId="14" fontId="0" fillId="5" borderId="4" xfId="0" applyNumberFormat="1" applyFill="1" applyBorder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14" fontId="0" fillId="5" borderId="11" xfId="0" applyNumberFormat="1" applyFill="1" applyBorder="1" applyAlignment="1">
      <alignment horizontal="right" vertical="center"/>
    </xf>
    <xf numFmtId="14" fontId="0" fillId="5" borderId="2" xfId="0" applyNumberFormat="1" applyFill="1" applyBorder="1" applyAlignment="1">
      <alignment horizontal="right" vertical="center"/>
    </xf>
    <xf numFmtId="168" fontId="14" fillId="5" borderId="9" xfId="0" applyNumberFormat="1" applyFont="1" applyFill="1" applyBorder="1" applyAlignment="1">
      <alignment horizontal="center" vertical="center"/>
    </xf>
    <xf numFmtId="168" fontId="14" fillId="5" borderId="10" xfId="0" applyNumberFormat="1" applyFont="1" applyFill="1" applyBorder="1" applyAlignment="1">
      <alignment horizontal="center" vertical="center"/>
    </xf>
    <xf numFmtId="168" fontId="14" fillId="5" borderId="1" xfId="0" applyNumberFormat="1" applyFont="1" applyFill="1" applyBorder="1" applyAlignment="1">
      <alignment horizontal="center" vertical="center"/>
    </xf>
    <xf numFmtId="166" fontId="0" fillId="5" borderId="6" xfId="0" applyNumberFormat="1" applyFill="1" applyBorder="1" applyAlignment="1">
      <alignment vertical="center"/>
    </xf>
    <xf numFmtId="167" fontId="14" fillId="5" borderId="9" xfId="0" applyNumberFormat="1" applyFont="1" applyFill="1" applyBorder="1" applyAlignment="1">
      <alignment horizontal="center" vertical="center"/>
    </xf>
    <xf numFmtId="167" fontId="14" fillId="5" borderId="10" xfId="0" applyNumberFormat="1" applyFont="1" applyFill="1" applyBorder="1" applyAlignment="1">
      <alignment horizontal="center" vertical="center"/>
    </xf>
    <xf numFmtId="167" fontId="14" fillId="5" borderId="1" xfId="0" applyNumberFormat="1" applyFont="1" applyFill="1" applyBorder="1" applyAlignment="1">
      <alignment horizontal="center" vertical="center"/>
    </xf>
    <xf numFmtId="168" fontId="0" fillId="5" borderId="12" xfId="0" applyNumberFormat="1" applyFill="1" applyBorder="1" applyAlignment="1">
      <alignment horizontal="right" vertical="center"/>
    </xf>
    <xf numFmtId="168" fontId="0" fillId="7" borderId="9" xfId="0" applyNumberFormat="1" applyFill="1" applyBorder="1" applyAlignment="1">
      <alignment horizontal="center" vertical="center"/>
    </xf>
    <xf numFmtId="168" fontId="0" fillId="7" borderId="10" xfId="0" applyNumberFormat="1" applyFill="1" applyBorder="1" applyAlignment="1">
      <alignment horizontal="center" vertical="center"/>
    </xf>
    <xf numFmtId="168" fontId="0" fillId="7" borderId="1" xfId="0" applyNumberFormat="1" applyFill="1" applyBorder="1" applyAlignment="1">
      <alignment horizontal="center" vertical="center"/>
    </xf>
    <xf numFmtId="167" fontId="0" fillId="6" borderId="5" xfId="0" applyNumberFormat="1" applyFill="1" applyBorder="1" applyAlignment="1">
      <alignment horizontal="center" vertical="center"/>
    </xf>
    <xf numFmtId="167" fontId="0" fillId="6" borderId="7" xfId="0" applyNumberFormat="1" applyFill="1" applyBorder="1" applyAlignment="1">
      <alignment horizontal="center" vertical="center"/>
    </xf>
    <xf numFmtId="167" fontId="0" fillId="6" borderId="6" xfId="0" applyNumberFormat="1" applyFill="1" applyBorder="1" applyAlignment="1">
      <alignment horizontal="center" vertical="center"/>
    </xf>
    <xf numFmtId="168" fontId="0" fillId="12" borderId="9" xfId="0" applyNumberFormat="1" applyFill="1" applyBorder="1" applyAlignment="1">
      <alignment horizontal="center" vertical="center"/>
    </xf>
    <xf numFmtId="168" fontId="0" fillId="12" borderId="10" xfId="0" applyNumberFormat="1" applyFill="1" applyBorder="1" applyAlignment="1">
      <alignment horizontal="center" vertical="center"/>
    </xf>
    <xf numFmtId="168" fontId="0" fillId="12" borderId="1" xfId="0" applyNumberFormat="1" applyFill="1" applyBorder="1" applyAlignment="1">
      <alignment horizontal="center" vertical="center"/>
    </xf>
    <xf numFmtId="168" fontId="0" fillId="6" borderId="9" xfId="0" applyNumberFormat="1" applyFill="1" applyBorder="1" applyAlignment="1">
      <alignment horizontal="center" vertical="center"/>
    </xf>
    <xf numFmtId="168" fontId="0" fillId="6" borderId="10" xfId="0" applyNumberFormat="1" applyFill="1" applyBorder="1" applyAlignment="1">
      <alignment horizontal="center" vertical="center"/>
    </xf>
    <xf numFmtId="168" fontId="0" fillId="6" borderId="1" xfId="0" applyNumberFormat="1" applyFill="1" applyBorder="1" applyAlignment="1">
      <alignment horizontal="center" vertical="center"/>
    </xf>
    <xf numFmtId="14" fontId="0" fillId="8" borderId="7" xfId="0" applyNumberForma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7" borderId="7" xfId="0" applyNumberFormat="1" applyFont="1" applyFill="1" applyBorder="1" applyAlignment="1">
      <alignment horizontal="center" vertical="center"/>
    </xf>
    <xf numFmtId="167" fontId="4" fillId="7" borderId="6" xfId="0" applyNumberFormat="1" applyFont="1" applyFill="1" applyBorder="1" applyAlignment="1">
      <alignment horizontal="center" vertical="center"/>
    </xf>
    <xf numFmtId="168" fontId="0" fillId="10" borderId="9" xfId="0" applyNumberFormat="1" applyFill="1" applyBorder="1" applyAlignment="1">
      <alignment horizontal="center" vertical="center"/>
    </xf>
    <xf numFmtId="168" fontId="0" fillId="10" borderId="10" xfId="0" applyNumberFormat="1" applyFill="1" applyBorder="1" applyAlignment="1">
      <alignment horizontal="center" vertical="center"/>
    </xf>
    <xf numFmtId="168" fontId="0" fillId="10" borderId="1" xfId="0" applyNumberFormat="1" applyFill="1" applyBorder="1" applyAlignment="1">
      <alignment horizontal="center" vertical="center"/>
    </xf>
    <xf numFmtId="170" fontId="0" fillId="7" borderId="9" xfId="0" applyNumberFormat="1" applyFill="1" applyBorder="1" applyAlignment="1">
      <alignment horizontal="center" vertical="center"/>
    </xf>
    <xf numFmtId="170" fontId="0" fillId="7" borderId="1" xfId="0" applyNumberFormat="1" applyFill="1" applyBorder="1" applyAlignment="1">
      <alignment horizontal="center" vertical="center"/>
    </xf>
    <xf numFmtId="167" fontId="0" fillId="15" borderId="5" xfId="0" applyNumberFormat="1" applyFill="1" applyBorder="1" applyAlignment="1">
      <alignment horizontal="center" vertical="center"/>
    </xf>
    <xf numFmtId="167" fontId="0" fillId="15" borderId="7" xfId="0" applyNumberFormat="1" applyFill="1" applyBorder="1" applyAlignment="1">
      <alignment horizontal="center" vertical="center"/>
    </xf>
    <xf numFmtId="167" fontId="0" fillId="15" borderId="6" xfId="0" applyNumberFormat="1" applyFill="1" applyBorder="1" applyAlignment="1">
      <alignment horizontal="center" vertical="center"/>
    </xf>
    <xf numFmtId="170" fontId="0" fillId="12" borderId="9" xfId="0" applyNumberFormat="1" applyFill="1" applyBorder="1" applyAlignment="1">
      <alignment horizontal="center" vertical="center"/>
    </xf>
    <xf numFmtId="170" fontId="0" fillId="12" borderId="10" xfId="0" applyNumberFormat="1" applyFill="1" applyBorder="1" applyAlignment="1">
      <alignment horizontal="center" vertical="center"/>
    </xf>
    <xf numFmtId="170" fontId="0" fillId="12" borderId="1" xfId="0" applyNumberFormat="1" applyFill="1" applyBorder="1" applyAlignment="1">
      <alignment horizontal="center" vertical="center"/>
    </xf>
    <xf numFmtId="167" fontId="0" fillId="14" borderId="5" xfId="0" applyNumberFormat="1" applyFill="1" applyBorder="1" applyAlignment="1">
      <alignment horizontal="center" vertical="center"/>
    </xf>
    <xf numFmtId="167" fontId="0" fillId="14" borderId="7" xfId="0" applyNumberFormat="1" applyFill="1" applyBorder="1" applyAlignment="1">
      <alignment horizontal="center" vertical="center"/>
    </xf>
    <xf numFmtId="167" fontId="0" fillId="14" borderId="6" xfId="0" applyNumberFormat="1" applyFill="1" applyBorder="1" applyAlignment="1">
      <alignment horizontal="center" vertical="center"/>
    </xf>
    <xf numFmtId="166" fontId="0" fillId="6" borderId="5" xfId="0" applyNumberFormat="1" applyFill="1" applyBorder="1" applyAlignment="1">
      <alignment horizontal="center" vertical="center"/>
    </xf>
    <xf numFmtId="166" fontId="0" fillId="6" borderId="7" xfId="0" applyNumberFormat="1" applyFill="1" applyBorder="1" applyAlignment="1">
      <alignment horizontal="center" vertical="center"/>
    </xf>
    <xf numFmtId="166" fontId="0" fillId="6" borderId="6" xfId="0" applyNumberFormat="1" applyFill="1" applyBorder="1" applyAlignment="1">
      <alignment horizontal="center" vertical="center"/>
    </xf>
    <xf numFmtId="166" fontId="4" fillId="8" borderId="5" xfId="0" applyNumberFormat="1" applyFont="1" applyFill="1" applyBorder="1" applyAlignment="1">
      <alignment horizontal="center" vertical="center"/>
    </xf>
    <xf numFmtId="166" fontId="4" fillId="7" borderId="5" xfId="0" applyNumberFormat="1" applyFont="1" applyFill="1" applyBorder="1" applyAlignment="1">
      <alignment horizontal="center" vertical="center"/>
    </xf>
    <xf numFmtId="170" fontId="0" fillId="21" borderId="5" xfId="0" applyNumberFormat="1" applyFill="1" applyBorder="1" applyAlignment="1">
      <alignment horizontal="center" vertical="center"/>
    </xf>
    <xf numFmtId="170" fontId="0" fillId="21" borderId="6" xfId="0" applyNumberFormat="1" applyFill="1" applyBorder="1" applyAlignment="1">
      <alignment horizontal="center" vertical="center"/>
    </xf>
    <xf numFmtId="167" fontId="0" fillId="20" borderId="5" xfId="0" applyNumberFormat="1" applyFill="1" applyBorder="1" applyAlignment="1">
      <alignment horizontal="center" vertical="center"/>
    </xf>
    <xf numFmtId="167" fontId="0" fillId="20" borderId="7" xfId="0" applyNumberFormat="1" applyFill="1" applyBorder="1" applyAlignment="1">
      <alignment horizontal="center" vertical="center"/>
    </xf>
    <xf numFmtId="167" fontId="0" fillId="20" borderId="6" xfId="0" applyNumberFormat="1" applyFill="1" applyBorder="1" applyAlignment="1">
      <alignment horizontal="center" vertical="center"/>
    </xf>
    <xf numFmtId="170" fontId="0" fillId="21" borderId="7" xfId="0" applyNumberFormat="1" applyFill="1" applyBorder="1" applyAlignment="1">
      <alignment horizontal="center" vertical="center"/>
    </xf>
    <xf numFmtId="170" fontId="0" fillId="15" borderId="5" xfId="0" applyNumberFormat="1" applyFill="1" applyBorder="1" applyAlignment="1">
      <alignment horizontal="center" vertical="center"/>
    </xf>
    <xf numFmtId="170" fontId="0" fillId="15" borderId="7" xfId="0" applyNumberFormat="1" applyFill="1" applyBorder="1" applyAlignment="1">
      <alignment horizontal="center" vertical="center"/>
    </xf>
    <xf numFmtId="170" fontId="0" fillId="15" borderId="6" xfId="0" applyNumberFormat="1" applyFill="1" applyBorder="1" applyAlignment="1">
      <alignment horizontal="center" vertical="center"/>
    </xf>
    <xf numFmtId="170" fontId="0" fillId="18" borderId="5" xfId="0" applyNumberFormat="1" applyFill="1" applyBorder="1" applyAlignment="1">
      <alignment horizontal="center" vertical="center"/>
    </xf>
    <xf numFmtId="170" fontId="0" fillId="18" borderId="7" xfId="0" applyNumberFormat="1" applyFill="1" applyBorder="1" applyAlignment="1">
      <alignment horizontal="center" vertical="center"/>
    </xf>
    <xf numFmtId="170" fontId="0" fillId="18" borderId="6" xfId="0" applyNumberFormat="1" applyFill="1" applyBorder="1" applyAlignment="1">
      <alignment horizontal="center" vertical="center"/>
    </xf>
    <xf numFmtId="14" fontId="0" fillId="19" borderId="7" xfId="0" applyNumberFormat="1" applyFill="1" applyBorder="1" applyAlignment="1">
      <alignment horizontal="center" vertical="center"/>
    </xf>
    <xf numFmtId="171" fontId="0" fillId="26" borderId="5" xfId="0" applyNumberFormat="1" applyFill="1" applyBorder="1" applyAlignment="1">
      <alignment horizontal="center" vertical="center"/>
    </xf>
    <xf numFmtId="171" fontId="0" fillId="26" borderId="7" xfId="0" applyNumberFormat="1" applyFill="1" applyBorder="1" applyAlignment="1">
      <alignment horizontal="center" vertical="center"/>
    </xf>
    <xf numFmtId="171" fontId="0" fillId="26" borderId="6" xfId="0" applyNumberFormat="1" applyFill="1" applyBorder="1" applyAlignment="1">
      <alignment horizontal="center" vertical="center"/>
    </xf>
    <xf numFmtId="170" fontId="0" fillId="6" borderId="5" xfId="0" applyNumberFormat="1" applyFill="1" applyBorder="1" applyAlignment="1">
      <alignment horizontal="center" vertical="center"/>
    </xf>
    <xf numFmtId="170" fontId="0" fillId="6" borderId="6" xfId="0" applyNumberFormat="1" applyFill="1" applyBorder="1" applyAlignment="1">
      <alignment horizontal="center" vertical="center"/>
    </xf>
    <xf numFmtId="170" fontId="0" fillId="10" borderId="5" xfId="0" applyNumberFormat="1" applyFill="1" applyBorder="1" applyAlignment="1">
      <alignment horizontal="center" vertical="center"/>
    </xf>
    <xf numFmtId="170" fontId="0" fillId="10" borderId="6" xfId="0" applyNumberFormat="1" applyFill="1" applyBorder="1" applyAlignment="1">
      <alignment horizontal="center" vertical="center"/>
    </xf>
    <xf numFmtId="170" fontId="0" fillId="7" borderId="5" xfId="0" applyNumberFormat="1" applyFill="1" applyBorder="1" applyAlignment="1">
      <alignment horizontal="center" vertical="center"/>
    </xf>
    <xf numFmtId="170" fontId="0" fillId="7" borderId="6" xfId="0" applyNumberFormat="1" applyFill="1" applyBorder="1" applyAlignment="1">
      <alignment horizontal="center" vertical="center"/>
    </xf>
    <xf numFmtId="167" fontId="0" fillId="29" borderId="7" xfId="0" applyNumberFormat="1" applyFill="1" applyBorder="1" applyAlignment="1">
      <alignment horizontal="center" vertical="center"/>
    </xf>
    <xf numFmtId="171" fontId="0" fillId="29" borderId="7" xfId="0" applyNumberFormat="1" applyFill="1" applyBorder="1" applyAlignment="1">
      <alignment horizontal="center" vertical="center"/>
    </xf>
    <xf numFmtId="171" fontId="0" fillId="18" borderId="5" xfId="0" applyNumberFormat="1" applyFill="1" applyBorder="1" applyAlignment="1">
      <alignment horizontal="center" vertical="center"/>
    </xf>
    <xf numFmtId="171" fontId="0" fillId="18" borderId="7" xfId="0" applyNumberFormat="1" applyFill="1" applyBorder="1" applyAlignment="1">
      <alignment horizontal="center" vertical="center"/>
    </xf>
    <xf numFmtId="171" fontId="0" fillId="18" borderId="6" xfId="0" applyNumberFormat="1" applyFill="1" applyBorder="1" applyAlignment="1">
      <alignment horizontal="center" vertical="center"/>
    </xf>
    <xf numFmtId="14" fontId="0" fillId="26" borderId="5" xfId="0" applyNumberFormat="1" applyFill="1" applyBorder="1" applyAlignment="1">
      <alignment horizontal="center" vertical="center"/>
    </xf>
    <xf numFmtId="14" fontId="0" fillId="26" borderId="6" xfId="0" applyNumberFormat="1" applyFill="1" applyBorder="1" applyAlignment="1">
      <alignment horizontal="center" vertical="center"/>
    </xf>
    <xf numFmtId="167" fontId="0" fillId="26" borderId="5" xfId="0" applyNumberFormat="1" applyFill="1" applyBorder="1" applyAlignment="1">
      <alignment horizontal="center" vertical="center"/>
    </xf>
    <xf numFmtId="167" fontId="0" fillId="26" borderId="7" xfId="0" applyNumberFormat="1" applyFill="1" applyBorder="1" applyAlignment="1">
      <alignment horizontal="center" vertical="center"/>
    </xf>
    <xf numFmtId="167" fontId="0" fillId="26" borderId="6" xfId="0" applyNumberFormat="1" applyFill="1" applyBorder="1" applyAlignment="1">
      <alignment horizontal="center" vertical="center"/>
    </xf>
    <xf numFmtId="171" fontId="0" fillId="13" borderId="5" xfId="0" applyNumberFormat="1" applyFill="1" applyBorder="1" applyAlignment="1">
      <alignment horizontal="center" vertical="center"/>
    </xf>
    <xf numFmtId="166" fontId="0" fillId="13" borderId="5" xfId="0" applyNumberFormat="1" applyFill="1" applyBorder="1" applyAlignment="1">
      <alignment horizontal="center" vertical="center"/>
    </xf>
    <xf numFmtId="166" fontId="0" fillId="13" borderId="7" xfId="0" applyNumberFormat="1" applyFill="1" applyBorder="1" applyAlignment="1">
      <alignment horizontal="center" vertical="center"/>
    </xf>
    <xf numFmtId="171" fontId="0" fillId="13" borderId="6" xfId="0" applyNumberFormat="1" applyFill="1" applyBorder="1" applyAlignment="1">
      <alignment horizontal="center" vertical="center"/>
    </xf>
    <xf numFmtId="166" fontId="0" fillId="13" borderId="6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000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Roaming\Microsoft\Excel\H%20Uli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EUANGAN"/>
      <sheetName val="KEUANGAN BARU"/>
      <sheetName val="NOTA"/>
      <sheetName val="REKAP NOTA"/>
      <sheetName val="DAFTAR HARGA"/>
    </sheetNames>
    <sheetDataSet>
      <sheetData sheetId="0"/>
      <sheetData sheetId="1"/>
      <sheetData sheetId="2"/>
      <sheetData sheetId="3"/>
      <sheetData sheetId="4">
        <row r="3">
          <cell r="B3" t="str">
            <v>120x18x196</v>
          </cell>
          <cell r="C3">
            <v>63000</v>
          </cell>
        </row>
        <row r="4">
          <cell r="B4" t="str">
            <v>120x28x195</v>
          </cell>
          <cell r="C4">
            <v>67</v>
          </cell>
        </row>
        <row r="5">
          <cell r="B5" t="str">
            <v>140x18x195</v>
          </cell>
          <cell r="C5">
            <v>73000</v>
          </cell>
        </row>
        <row r="6">
          <cell r="B6" t="str">
            <v>HCS 15D X64 MM</v>
          </cell>
          <cell r="C6">
            <v>19200</v>
          </cell>
        </row>
        <row r="7">
          <cell r="B7" t="str">
            <v>Bantal Amerika</v>
          </cell>
          <cell r="C7">
            <v>12500</v>
          </cell>
        </row>
        <row r="8">
          <cell r="B8" t="str">
            <v>Bantal Biasa</v>
          </cell>
          <cell r="C8">
            <v>12500</v>
          </cell>
        </row>
        <row r="9">
          <cell r="B9" t="str">
            <v>Bantal Cinta</v>
          </cell>
          <cell r="C9">
            <v>32000</v>
          </cell>
        </row>
        <row r="10">
          <cell r="B10" t="str">
            <v>Bantal Cinta Lucky Pillow</v>
          </cell>
          <cell r="C10">
            <v>24000</v>
          </cell>
        </row>
        <row r="11">
          <cell r="B11" t="str">
            <v>Bantal Daren Austin</v>
          </cell>
          <cell r="C11">
            <v>25000</v>
          </cell>
        </row>
        <row r="12">
          <cell r="B12" t="str">
            <v>Bantal Daren Austin 1 Kg</v>
          </cell>
          <cell r="C12">
            <v>30000</v>
          </cell>
        </row>
        <row r="13">
          <cell r="B13" t="str">
            <v>Bantal Disperse</v>
          </cell>
          <cell r="C13">
            <v>23000</v>
          </cell>
        </row>
        <row r="14">
          <cell r="B14" t="str">
            <v>Bantal Disprei</v>
          </cell>
          <cell r="C14">
            <v>20500</v>
          </cell>
        </row>
        <row r="15">
          <cell r="B15" t="str">
            <v>Bantal Hotel</v>
          </cell>
          <cell r="C15">
            <v>25000</v>
          </cell>
        </row>
        <row r="16">
          <cell r="B16" t="str">
            <v>Bantal Hotel</v>
          </cell>
          <cell r="C16">
            <v>23000</v>
          </cell>
        </row>
        <row r="17">
          <cell r="B17" t="str">
            <v>Bantal Hotel A</v>
          </cell>
          <cell r="C17">
            <v>21500</v>
          </cell>
        </row>
        <row r="18">
          <cell r="B18" t="str">
            <v>Bantal Hotel AA</v>
          </cell>
          <cell r="C18">
            <v>23000</v>
          </cell>
        </row>
        <row r="19">
          <cell r="B19" t="str">
            <v>Bantal Hotel Chalysta</v>
          </cell>
          <cell r="C19">
            <v>21000</v>
          </cell>
        </row>
        <row r="20">
          <cell r="B20" t="str">
            <v>Bantal Hotel Daren Austin</v>
          </cell>
          <cell r="C20">
            <v>25000</v>
          </cell>
        </row>
        <row r="21">
          <cell r="B21" t="str">
            <v>Bantal Hotel FDL</v>
          </cell>
          <cell r="C21">
            <v>17500</v>
          </cell>
        </row>
        <row r="22">
          <cell r="B22" t="str">
            <v>Bantal Hotel FDL(4 Ons)</v>
          </cell>
          <cell r="C22">
            <v>18000</v>
          </cell>
        </row>
        <row r="23">
          <cell r="B23" t="str">
            <v>Bantal Hotel Lucky Pillow</v>
          </cell>
          <cell r="C23">
            <v>16000</v>
          </cell>
        </row>
        <row r="24">
          <cell r="B24" t="str">
            <v>Bantal Hotel Platinum</v>
          </cell>
          <cell r="C24">
            <v>25000</v>
          </cell>
        </row>
        <row r="25">
          <cell r="B25" t="str">
            <v>Bantal Hotel Royal</v>
          </cell>
          <cell r="C25">
            <v>25000</v>
          </cell>
        </row>
        <row r="26">
          <cell r="B26" t="str">
            <v>Bantal Hotel Vegas</v>
          </cell>
          <cell r="C26">
            <v>23000</v>
          </cell>
        </row>
        <row r="27">
          <cell r="B27" t="str">
            <v>Bantal Hotel Whitesnow</v>
          </cell>
          <cell r="C27">
            <v>25000</v>
          </cell>
        </row>
        <row r="28">
          <cell r="B28" t="str">
            <v>Bantal Knitting</v>
          </cell>
          <cell r="C28">
            <v>34000</v>
          </cell>
        </row>
        <row r="29">
          <cell r="B29" t="str">
            <v>Bantal Knitting 1kg</v>
          </cell>
          <cell r="C29">
            <v>26500</v>
          </cell>
        </row>
        <row r="30">
          <cell r="B30" t="str">
            <v>Bantal Knitting A</v>
          </cell>
          <cell r="C30">
            <v>31000</v>
          </cell>
        </row>
        <row r="31">
          <cell r="B31" t="str">
            <v>Bantal Knitting Khusus</v>
          </cell>
          <cell r="C31">
            <v>23500</v>
          </cell>
        </row>
        <row r="32">
          <cell r="B32" t="str">
            <v>Bantal Knitting Khusus Besar</v>
          </cell>
          <cell r="C32">
            <v>24500</v>
          </cell>
        </row>
        <row r="33">
          <cell r="B33" t="str">
            <v>Bantal Knitting Lucky Pillow</v>
          </cell>
          <cell r="C33">
            <v>25000</v>
          </cell>
        </row>
        <row r="34">
          <cell r="B34" t="str">
            <v>Bantal Knitting Non Putih Biasa</v>
          </cell>
          <cell r="C34">
            <v>20000</v>
          </cell>
        </row>
        <row r="35">
          <cell r="B35" t="str">
            <v>Bantal Knitting Non Putih Charier</v>
          </cell>
          <cell r="C35">
            <v>20500</v>
          </cell>
        </row>
        <row r="36">
          <cell r="B36" t="str">
            <v>Bantal Knitting Putih</v>
          </cell>
          <cell r="C36">
            <v>22000</v>
          </cell>
        </row>
        <row r="37">
          <cell r="B37" t="str">
            <v>Bantal Polkadot</v>
          </cell>
          <cell r="C37">
            <v>23000</v>
          </cell>
        </row>
        <row r="38">
          <cell r="B38" t="str">
            <v>Bantal Silikon A</v>
          </cell>
          <cell r="C38">
            <v>19000</v>
          </cell>
        </row>
        <row r="39">
          <cell r="B39" t="str">
            <v>Bantal Silikon Besae</v>
          </cell>
          <cell r="C39">
            <v>22000</v>
          </cell>
        </row>
        <row r="40">
          <cell r="B40" t="str">
            <v>Bantal Silikon Besar</v>
          </cell>
          <cell r="C40">
            <v>20000</v>
          </cell>
        </row>
        <row r="41">
          <cell r="B41" t="str">
            <v>Bantal Silikon Biasa</v>
          </cell>
          <cell r="C41">
            <v>19000</v>
          </cell>
        </row>
        <row r="42">
          <cell r="B42" t="str">
            <v>Bantal Standard</v>
          </cell>
          <cell r="C42">
            <v>20000</v>
          </cell>
        </row>
        <row r="43">
          <cell r="B43" t="str">
            <v>Bisban</v>
          </cell>
          <cell r="C43">
            <v>30000</v>
          </cell>
        </row>
        <row r="44">
          <cell r="B44" t="str">
            <v>Boba</v>
          </cell>
          <cell r="C44">
            <v>32000</v>
          </cell>
        </row>
        <row r="45">
          <cell r="B45" t="str">
            <v>Cimol</v>
          </cell>
          <cell r="C45">
            <v>100000</v>
          </cell>
        </row>
        <row r="46">
          <cell r="B46" t="str">
            <v>Cober Disperse 90x15x200</v>
          </cell>
          <cell r="C46">
            <v>55000</v>
          </cell>
        </row>
        <row r="47">
          <cell r="B47" t="str">
            <v>Dakron 140x10x180</v>
          </cell>
          <cell r="C47">
            <v>205000</v>
          </cell>
        </row>
        <row r="48">
          <cell r="B48" t="str">
            <v>Dakron 90x10</v>
          </cell>
          <cell r="C48">
            <v>145000</v>
          </cell>
        </row>
        <row r="49">
          <cell r="B49" t="str">
            <v>Dakron Ukr 100x3x160</v>
          </cell>
          <cell r="C49">
            <v>21000</v>
          </cell>
        </row>
        <row r="50">
          <cell r="B50" t="str">
            <v>Glangsing</v>
          </cell>
          <cell r="C50">
            <v>6000</v>
          </cell>
        </row>
        <row r="51">
          <cell r="B51" t="str">
            <v>Guling Biasa</v>
          </cell>
          <cell r="C51">
            <v>12500</v>
          </cell>
        </row>
        <row r="52">
          <cell r="B52" t="str">
            <v>Guling Hotel</v>
          </cell>
          <cell r="C52">
            <v>25000</v>
          </cell>
        </row>
        <row r="53">
          <cell r="B53" t="str">
            <v>Guling Hotel A</v>
          </cell>
          <cell r="C53">
            <v>21500</v>
          </cell>
        </row>
        <row r="54">
          <cell r="B54" t="str">
            <v>Guling Hotel AA</v>
          </cell>
          <cell r="C54">
            <v>23000</v>
          </cell>
        </row>
        <row r="55">
          <cell r="B55" t="str">
            <v>Guling Hotel Chalista</v>
          </cell>
          <cell r="C55">
            <v>21000</v>
          </cell>
        </row>
        <row r="56">
          <cell r="B56" t="str">
            <v>Guling Hotel Chalista</v>
          </cell>
          <cell r="C56">
            <v>21000</v>
          </cell>
        </row>
        <row r="57">
          <cell r="B57" t="str">
            <v>Guling Hotel Daren Austin</v>
          </cell>
          <cell r="C57">
            <v>25000</v>
          </cell>
        </row>
        <row r="58">
          <cell r="B58" t="str">
            <v>Guling Hotel Daren Austin 1 Kg</v>
          </cell>
          <cell r="C58">
            <v>30000</v>
          </cell>
        </row>
        <row r="59">
          <cell r="B59" t="str">
            <v>Guling Hotel FDL</v>
          </cell>
          <cell r="C59">
            <v>17500</v>
          </cell>
        </row>
        <row r="60">
          <cell r="B60" t="str">
            <v>Guling Hotel FDL(4 Ons)</v>
          </cell>
          <cell r="C60">
            <v>18000</v>
          </cell>
        </row>
        <row r="61">
          <cell r="B61" t="str">
            <v>Guling Hotel Lucky Pillow</v>
          </cell>
          <cell r="C61">
            <v>17000</v>
          </cell>
        </row>
        <row r="62">
          <cell r="B62" t="str">
            <v>Guling Hotel Platinum</v>
          </cell>
          <cell r="C62">
            <v>25000</v>
          </cell>
        </row>
        <row r="63">
          <cell r="B63" t="str">
            <v>Guling Hotel Royal</v>
          </cell>
          <cell r="C63">
            <v>25000</v>
          </cell>
        </row>
        <row r="64">
          <cell r="B64" t="str">
            <v>Guling Hotel Vegas</v>
          </cell>
          <cell r="C64">
            <v>23000</v>
          </cell>
        </row>
        <row r="65">
          <cell r="B65" t="str">
            <v>Guling Hotel Whitesnow</v>
          </cell>
          <cell r="C65">
            <v>25000</v>
          </cell>
        </row>
        <row r="66">
          <cell r="B66" t="str">
            <v>Guling Knitting 1 Kg</v>
          </cell>
          <cell r="C66">
            <v>26500</v>
          </cell>
        </row>
        <row r="67">
          <cell r="B67" t="str">
            <v>Guling Knitting A</v>
          </cell>
          <cell r="C67">
            <v>31000</v>
          </cell>
        </row>
        <row r="68">
          <cell r="B68" t="str">
            <v>Guling Knitting AA</v>
          </cell>
          <cell r="C68">
            <v>34000</v>
          </cell>
        </row>
        <row r="69">
          <cell r="B69" t="str">
            <v>Guling Knitting Khusus</v>
          </cell>
          <cell r="C69">
            <v>23500</v>
          </cell>
        </row>
        <row r="70">
          <cell r="B70" t="str">
            <v>Guling Knitting Khusus Besar</v>
          </cell>
          <cell r="C70">
            <v>24500</v>
          </cell>
        </row>
        <row r="71">
          <cell r="B71" t="str">
            <v>Guling Knitting Lucky Pillow</v>
          </cell>
          <cell r="C71">
            <v>25000</v>
          </cell>
        </row>
        <row r="72">
          <cell r="B72" t="str">
            <v>Guling Knitting Non Putih</v>
          </cell>
          <cell r="C72">
            <v>20000</v>
          </cell>
        </row>
        <row r="73">
          <cell r="B73" t="str">
            <v>Guling Lucky Pillow</v>
          </cell>
          <cell r="C73">
            <v>25000</v>
          </cell>
        </row>
        <row r="74">
          <cell r="B74" t="str">
            <v>Guling Polkadot</v>
          </cell>
          <cell r="C74">
            <v>23000</v>
          </cell>
        </row>
        <row r="75">
          <cell r="B75" t="str">
            <v>Guling Polkadot Gelap</v>
          </cell>
          <cell r="C75">
            <v>25000</v>
          </cell>
        </row>
        <row r="76">
          <cell r="B76" t="str">
            <v>Guling Silikon A</v>
          </cell>
          <cell r="C76">
            <v>19000</v>
          </cell>
        </row>
        <row r="77">
          <cell r="B77" t="str">
            <v>Guling Silikon Besar</v>
          </cell>
          <cell r="C77">
            <v>20000</v>
          </cell>
        </row>
        <row r="78">
          <cell r="B78" t="str">
            <v>HDP Ukr 100x5x180</v>
          </cell>
          <cell r="C78">
            <v>60000</v>
          </cell>
        </row>
        <row r="79">
          <cell r="B79" t="str">
            <v>HDP Ukr 120x5x180</v>
          </cell>
          <cell r="C79">
            <v>70000</v>
          </cell>
        </row>
        <row r="80">
          <cell r="B80" t="str">
            <v>HDP Ukr 140x5x180</v>
          </cell>
          <cell r="C80">
            <v>80000</v>
          </cell>
        </row>
        <row r="81">
          <cell r="B81" t="str">
            <v>Hdp 100x3x160</v>
          </cell>
          <cell r="C81">
            <v>18000</v>
          </cell>
        </row>
        <row r="82">
          <cell r="B82" t="str">
            <v>Hdp Ukr 120x10x180</v>
          </cell>
          <cell r="C82">
            <v>65</v>
          </cell>
        </row>
        <row r="83">
          <cell r="B83" t="str">
            <v>Hdp Ukr 140x10x180</v>
          </cell>
          <cell r="C83">
            <v>122</v>
          </cell>
        </row>
        <row r="84">
          <cell r="B84" t="str">
            <v>Kain 80x 12x200</v>
          </cell>
          <cell r="C84">
            <v>36000</v>
          </cell>
        </row>
        <row r="85">
          <cell r="B85" t="str">
            <v>Kain Bulu 120x5</v>
          </cell>
          <cell r="C85">
            <v>42000</v>
          </cell>
        </row>
        <row r="86">
          <cell r="B86" t="str">
            <v>Kain Disperse</v>
          </cell>
          <cell r="C86">
            <v>14000</v>
          </cell>
        </row>
        <row r="87">
          <cell r="B87" t="str">
            <v>Kain Disperse 105 Gram</v>
          </cell>
          <cell r="C87">
            <v>14000</v>
          </cell>
        </row>
        <row r="88">
          <cell r="B88" t="str">
            <v>Kain Hotel</v>
          </cell>
          <cell r="C88">
            <v>12000</v>
          </cell>
        </row>
        <row r="89">
          <cell r="B89" t="str">
            <v>Kain Jakat</v>
          </cell>
          <cell r="C89">
            <v>14000</v>
          </cell>
        </row>
        <row r="90">
          <cell r="B90" t="str">
            <v>Kain Jaquard Ukr 90x13x200</v>
          </cell>
          <cell r="C90">
            <v>60000</v>
          </cell>
        </row>
        <row r="91">
          <cell r="B91" t="str">
            <v>Kain Kapas</v>
          </cell>
          <cell r="C91">
            <v>9500</v>
          </cell>
        </row>
        <row r="92">
          <cell r="B92" t="str">
            <v>Kain Kapas A</v>
          </cell>
          <cell r="C92">
            <v>10250</v>
          </cell>
        </row>
        <row r="93">
          <cell r="B93" t="str">
            <v>Kain Kapas AA</v>
          </cell>
          <cell r="C93">
            <v>10000</v>
          </cell>
        </row>
        <row r="94">
          <cell r="B94" t="str">
            <v>Kain Knitting</v>
          </cell>
          <cell r="C94">
            <v>16000</v>
          </cell>
        </row>
        <row r="95">
          <cell r="B95" t="str">
            <v>Kain Knitting A</v>
          </cell>
          <cell r="C95">
            <v>22.2</v>
          </cell>
        </row>
        <row r="96">
          <cell r="B96" t="str">
            <v>Kain Knitting B</v>
          </cell>
          <cell r="C96">
            <v>16000</v>
          </cell>
        </row>
        <row r="97">
          <cell r="B97" t="str">
            <v>Kain Knitting Biru/merah</v>
          </cell>
          <cell r="C97">
            <v>28500</v>
          </cell>
        </row>
        <row r="98">
          <cell r="B98" t="str">
            <v>Kain Knitting C</v>
          </cell>
          <cell r="C98">
            <v>13.2</v>
          </cell>
        </row>
        <row r="99">
          <cell r="B99" t="str">
            <v>Kain Knitting Gold</v>
          </cell>
          <cell r="C99">
            <v>28500</v>
          </cell>
        </row>
        <row r="100">
          <cell r="B100" t="str">
            <v>Kain Knitting Putih</v>
          </cell>
          <cell r="C100">
            <v>24000</v>
          </cell>
        </row>
        <row r="101">
          <cell r="B101" t="str">
            <v>Kain Lipat 3 Ukr 100x5</v>
          </cell>
          <cell r="C101">
            <v>25000</v>
          </cell>
        </row>
        <row r="102">
          <cell r="B102" t="str">
            <v>Kain Lipat 3 Ukr 120x5</v>
          </cell>
          <cell r="C102">
            <v>25000</v>
          </cell>
        </row>
        <row r="103">
          <cell r="B103" t="str">
            <v>Kain Lipat 3 Ukr 140x5</v>
          </cell>
          <cell r="C103">
            <v>28000</v>
          </cell>
        </row>
        <row r="104">
          <cell r="B104" t="str">
            <v>Kain Lipat 3 Ukr 160x5</v>
          </cell>
          <cell r="C104">
            <v>31000</v>
          </cell>
        </row>
        <row r="105">
          <cell r="B105" t="str">
            <v>Kain Peles</v>
          </cell>
          <cell r="C105">
            <v>505000</v>
          </cell>
        </row>
        <row r="106">
          <cell r="B106" t="str">
            <v>Kain Peles T 180</v>
          </cell>
          <cell r="C106">
            <v>510000</v>
          </cell>
        </row>
        <row r="107">
          <cell r="B107" t="str">
            <v>Kain Polkadot</v>
          </cell>
          <cell r="C107">
            <v>305000</v>
          </cell>
        </row>
        <row r="108">
          <cell r="B108" t="str">
            <v>Kain Polos Warna</v>
          </cell>
          <cell r="C108">
            <v>14500</v>
          </cell>
        </row>
        <row r="109">
          <cell r="B109" t="str">
            <v>Kain Polymicro</v>
          </cell>
          <cell r="C109">
            <v>11300</v>
          </cell>
        </row>
        <row r="110">
          <cell r="B110" t="str">
            <v>Kain Polymicro 75</v>
          </cell>
          <cell r="C110">
            <v>11000</v>
          </cell>
        </row>
        <row r="111">
          <cell r="B111" t="str">
            <v>Kain Polymicro 85</v>
          </cell>
          <cell r="C111">
            <v>11500</v>
          </cell>
        </row>
        <row r="112">
          <cell r="B112" t="str">
            <v>Kain Polymicro Putih</v>
          </cell>
          <cell r="C112">
            <v>12500</v>
          </cell>
        </row>
        <row r="113">
          <cell r="B113" t="str">
            <v>Kain Putih</v>
          </cell>
          <cell r="C113">
            <v>14000</v>
          </cell>
        </row>
        <row r="114">
          <cell r="B114" t="str">
            <v>Kain Rasfur</v>
          </cell>
          <cell r="C114">
            <v>18750</v>
          </cell>
        </row>
        <row r="115">
          <cell r="B115" t="str">
            <v>Kain Rasfur</v>
          </cell>
          <cell r="C115">
            <v>18500</v>
          </cell>
        </row>
        <row r="116">
          <cell r="B116" t="str">
            <v>Kain Rasfur A</v>
          </cell>
          <cell r="C116">
            <v>16000</v>
          </cell>
        </row>
        <row r="117">
          <cell r="B117" t="str">
            <v>Kain Rasfur AA</v>
          </cell>
          <cell r="C117">
            <v>20000</v>
          </cell>
        </row>
        <row r="118">
          <cell r="B118" t="str">
            <v>Kain Rasfur Coklat</v>
          </cell>
          <cell r="C118">
            <v>17600</v>
          </cell>
        </row>
        <row r="119">
          <cell r="B119" t="str">
            <v>Kain Rasfur Printing</v>
          </cell>
          <cell r="C119">
            <v>25500</v>
          </cell>
        </row>
        <row r="120">
          <cell r="B120" t="str">
            <v>Kain Rasfurh</v>
          </cell>
          <cell r="C120">
            <v>18500</v>
          </cell>
        </row>
        <row r="121">
          <cell r="B121" t="str">
            <v>Kain Surpet</v>
          </cell>
          <cell r="C121">
            <v>32000</v>
          </cell>
        </row>
        <row r="122">
          <cell r="B122" t="str">
            <v>Kapas Cina</v>
          </cell>
          <cell r="C122">
            <v>9000</v>
          </cell>
        </row>
        <row r="123">
          <cell r="B123" t="str">
            <v>Kapas Poly</v>
          </cell>
          <cell r="C123">
            <v>8900</v>
          </cell>
        </row>
        <row r="124">
          <cell r="B124" t="str">
            <v>Karton Sudut</v>
          </cell>
          <cell r="C124">
            <v>1500</v>
          </cell>
        </row>
        <row r="125">
          <cell r="B125" t="str">
            <v>Kasur Busa ROYAL ORIGINAL 160X20</v>
          </cell>
          <cell r="C125">
            <v>720</v>
          </cell>
        </row>
        <row r="126">
          <cell r="B126" t="str">
            <v>Kasur Busa Royal 140x18</v>
          </cell>
          <cell r="C126">
            <v>66600</v>
          </cell>
        </row>
        <row r="127">
          <cell r="B127" t="str">
            <v>Kasur Busa Royal 140x20</v>
          </cell>
          <cell r="C127">
            <v>770000</v>
          </cell>
        </row>
        <row r="128">
          <cell r="B128" t="str">
            <v>Kasur Busa Royal 140x30</v>
          </cell>
          <cell r="C128">
            <v>230</v>
          </cell>
        </row>
        <row r="129">
          <cell r="B129" t="str">
            <v>Kasur Busa Royal 160x18</v>
          </cell>
          <cell r="C129">
            <v>96000</v>
          </cell>
        </row>
        <row r="130">
          <cell r="B130" t="str">
            <v>Kasur Busa Royal 160x30</v>
          </cell>
          <cell r="C130">
            <v>900000</v>
          </cell>
        </row>
        <row r="131">
          <cell r="B131" t="str">
            <v>Kasur Busa Royal 180x30</v>
          </cell>
          <cell r="C131">
            <v>33000</v>
          </cell>
        </row>
        <row r="132">
          <cell r="B132" t="str">
            <v>Kasur Cimol</v>
          </cell>
          <cell r="C132">
            <v>100000</v>
          </cell>
        </row>
        <row r="133">
          <cell r="B133" t="str">
            <v>Kasur Lipat 3 Ukr 100x5</v>
          </cell>
          <cell r="C133">
            <v>100000</v>
          </cell>
        </row>
        <row r="134">
          <cell r="B134" t="str">
            <v>Kasur Lipat 3 Ukr 100xt</v>
          </cell>
          <cell r="C134">
            <v>100000</v>
          </cell>
        </row>
        <row r="135">
          <cell r="B135" t="str">
            <v>Kasur Lipat 3 Ukr 120x5</v>
          </cell>
          <cell r="C135">
            <v>92000</v>
          </cell>
        </row>
        <row r="136">
          <cell r="B136" t="str">
            <v>Kasur Lipat 3 Ukr 75x5</v>
          </cell>
          <cell r="C136">
            <v>65000</v>
          </cell>
        </row>
        <row r="137">
          <cell r="B137" t="str">
            <v>Kasur Lipat 3 Ukr 90x5</v>
          </cell>
          <cell r="C137">
            <v>90000</v>
          </cell>
        </row>
        <row r="138">
          <cell r="B138" t="str">
            <v>Kasur Palembang 120</v>
          </cell>
          <cell r="C138">
            <v>62000</v>
          </cell>
        </row>
        <row r="139">
          <cell r="B139" t="str">
            <v>Kasur ROYAL ORIGINAL 120X20</v>
          </cell>
          <cell r="C139">
            <v>620</v>
          </cell>
        </row>
        <row r="140">
          <cell r="B140" t="str">
            <v>Kasur ROYAL ORIGINAL 140X20</v>
          </cell>
          <cell r="C140">
            <v>770000</v>
          </cell>
        </row>
        <row r="141">
          <cell r="B141" t="str">
            <v>Kasur ROYAL ORIGINAL 150X20</v>
          </cell>
          <cell r="C141">
            <v>830000</v>
          </cell>
        </row>
        <row r="142">
          <cell r="B142" t="str">
            <v>Kasur Rasfur</v>
          </cell>
          <cell r="C142">
            <v>115000</v>
          </cell>
        </row>
        <row r="143">
          <cell r="B143" t="str">
            <v>Kasur Rasfur 120x5</v>
          </cell>
          <cell r="C143">
            <v>125000</v>
          </cell>
        </row>
        <row r="144">
          <cell r="B144" t="str">
            <v>Kasur Rasfur 140x5</v>
          </cell>
          <cell r="C144">
            <v>155000</v>
          </cell>
        </row>
        <row r="145">
          <cell r="B145" t="str">
            <v>Kasur Rasfur 160x5</v>
          </cell>
          <cell r="C145">
            <v>195000</v>
          </cell>
        </row>
        <row r="146">
          <cell r="B146" t="str">
            <v>Kasur Rasfur A</v>
          </cell>
          <cell r="C146">
            <v>115000</v>
          </cell>
        </row>
        <row r="147">
          <cell r="B147" t="str">
            <v>Kasur Rasfur AA</v>
          </cell>
          <cell r="C147">
            <v>125000</v>
          </cell>
        </row>
        <row r="148">
          <cell r="B148" t="str">
            <v>Kasur Rasfur Bantal Guling 120x5</v>
          </cell>
          <cell r="C148">
            <v>210000</v>
          </cell>
        </row>
        <row r="149">
          <cell r="B149" t="str">
            <v>Kasur Rasfur Karakter</v>
          </cell>
          <cell r="C149">
            <v>210000</v>
          </cell>
        </row>
        <row r="150">
          <cell r="B150" t="str">
            <v>Kasur Rasfur Ukr 100x5</v>
          </cell>
          <cell r="C150">
            <v>105000</v>
          </cell>
        </row>
        <row r="151">
          <cell r="B151" t="str">
            <v>Kasur Rasfur Ukr 120x5</v>
          </cell>
          <cell r="C151">
            <v>138000</v>
          </cell>
        </row>
        <row r="152">
          <cell r="B152" t="str">
            <v>Kasur Royal 100x14</v>
          </cell>
          <cell r="C152">
            <v>430000</v>
          </cell>
        </row>
        <row r="153">
          <cell r="B153" t="str">
            <v>Kasur Royal 120x14</v>
          </cell>
          <cell r="C153">
            <v>477000</v>
          </cell>
        </row>
        <row r="154">
          <cell r="B154" t="str">
            <v>Kasur Royal 140x14</v>
          </cell>
          <cell r="C154">
            <v>522000</v>
          </cell>
        </row>
        <row r="155">
          <cell r="B155" t="str">
            <v>Kasur Royal 140x14x200</v>
          </cell>
          <cell r="C155">
            <v>548100</v>
          </cell>
        </row>
        <row r="156">
          <cell r="B156" t="str">
            <v>Kasur Royal 150x14</v>
          </cell>
          <cell r="C156">
            <v>560000</v>
          </cell>
        </row>
        <row r="157">
          <cell r="B157" t="str">
            <v>Kasur Royal 160x14</v>
          </cell>
          <cell r="C157">
            <v>607000</v>
          </cell>
        </row>
        <row r="158">
          <cell r="B158" t="str">
            <v>Kasur Royal 180x14</v>
          </cell>
          <cell r="C158">
            <v>670000</v>
          </cell>
        </row>
        <row r="159">
          <cell r="B159" t="str">
            <v>Kasur Royal 90x14</v>
          </cell>
          <cell r="C159">
            <v>382000</v>
          </cell>
        </row>
        <row r="160">
          <cell r="B160" t="str">
            <v>Kasur Royal Original 120x18</v>
          </cell>
          <cell r="C160">
            <v>620</v>
          </cell>
        </row>
        <row r="161">
          <cell r="B161" t="str">
            <v>Kasur Royal Original 140x15</v>
          </cell>
          <cell r="C161">
            <v>550000</v>
          </cell>
        </row>
        <row r="162">
          <cell r="B162" t="str">
            <v>Kasur Royal Original 140x18</v>
          </cell>
          <cell r="C162">
            <v>730000</v>
          </cell>
        </row>
        <row r="163">
          <cell r="B163" t="str">
            <v>Kasur Royal Original 160x10</v>
          </cell>
          <cell r="C163">
            <v>790000</v>
          </cell>
        </row>
        <row r="164">
          <cell r="B164" t="str">
            <v>Kasur Royal Original 160x15</v>
          </cell>
          <cell r="C164">
            <v>640000</v>
          </cell>
        </row>
        <row r="165">
          <cell r="B165" t="str">
            <v>Kasur Royal Original 160x18</v>
          </cell>
          <cell r="C165">
            <v>790000</v>
          </cell>
        </row>
        <row r="166">
          <cell r="B166" t="str">
            <v>Kasur Royal Original 180x18</v>
          </cell>
          <cell r="C166">
            <v>880000</v>
          </cell>
        </row>
        <row r="167">
          <cell r="B167" t="str">
            <v>Kasur Ukr 90x10x180</v>
          </cell>
          <cell r="C167">
            <v>155000</v>
          </cell>
        </row>
        <row r="168">
          <cell r="B168" t="str">
            <v>Lipat 3 Ukr 120x5</v>
          </cell>
          <cell r="C168">
            <v>80000</v>
          </cell>
        </row>
        <row r="169">
          <cell r="B169" t="str">
            <v>Lipat 3 Ukr 120xt</v>
          </cell>
          <cell r="C169">
            <v>110</v>
          </cell>
        </row>
        <row r="170">
          <cell r="B170" t="str">
            <v>Lipat 3 Ukr 140x5</v>
          </cell>
          <cell r="C170">
            <v>95000</v>
          </cell>
        </row>
        <row r="171">
          <cell r="B171" t="str">
            <v>Lipat 3 Ukr 160x5</v>
          </cell>
          <cell r="C171">
            <v>105000</v>
          </cell>
        </row>
        <row r="172">
          <cell r="B172" t="str">
            <v>Lipat 3 Ukr 75x5</v>
          </cell>
          <cell r="C172">
            <v>70</v>
          </cell>
        </row>
        <row r="173">
          <cell r="B173" t="str">
            <v>Lipat 3 Ukr 90x5 A</v>
          </cell>
          <cell r="C173">
            <v>70000</v>
          </cell>
        </row>
        <row r="174">
          <cell r="B174" t="str">
            <v>Mika 137x0.07x50 Mtr</v>
          </cell>
          <cell r="C174">
            <v>158000</v>
          </cell>
        </row>
        <row r="175">
          <cell r="B175" t="str">
            <v>Mika 137x0.07x70 Mtr</v>
          </cell>
          <cell r="C175">
            <v>158000</v>
          </cell>
        </row>
        <row r="176">
          <cell r="B176" t="str">
            <v>Mika 137x0.05</v>
          </cell>
          <cell r="C176">
            <v>90000</v>
          </cell>
        </row>
        <row r="177">
          <cell r="B177" t="str">
            <v>Mika 137x0.05x50 Mtr</v>
          </cell>
          <cell r="C177">
            <v>165000</v>
          </cell>
        </row>
        <row r="178">
          <cell r="B178" t="str">
            <v>Mika 137x0.07x50 Mtr</v>
          </cell>
          <cell r="C178">
            <v>165000</v>
          </cell>
        </row>
        <row r="179">
          <cell r="B179" t="str">
            <v>Mika 210x0.05x100</v>
          </cell>
          <cell r="C179">
            <v>320000</v>
          </cell>
        </row>
        <row r="180">
          <cell r="B180" t="str">
            <v>Mika Khusus</v>
          </cell>
          <cell r="C180">
            <v>90000</v>
          </cell>
        </row>
        <row r="181">
          <cell r="B181" t="str">
            <v>Mika RMP</v>
          </cell>
          <cell r="C181">
            <v>151500</v>
          </cell>
        </row>
        <row r="182">
          <cell r="B182" t="str">
            <v>PSF</v>
          </cell>
          <cell r="C182">
            <v>16500</v>
          </cell>
        </row>
        <row r="183">
          <cell r="B183" t="str">
            <v>Palembang 100</v>
          </cell>
          <cell r="C183">
            <v>52000</v>
          </cell>
        </row>
        <row r="184">
          <cell r="B184" t="str">
            <v>Palembang 140</v>
          </cell>
          <cell r="C184">
            <v>72000</v>
          </cell>
        </row>
        <row r="185">
          <cell r="B185" t="str">
            <v>Palembang 160</v>
          </cell>
          <cell r="C185">
            <v>82000</v>
          </cell>
        </row>
        <row r="186">
          <cell r="B186" t="str">
            <v>Palembang 80</v>
          </cell>
          <cell r="C186">
            <v>42000</v>
          </cell>
        </row>
        <row r="187">
          <cell r="B187" t="str">
            <v>Permadani 160x210</v>
          </cell>
          <cell r="C187">
            <v>265</v>
          </cell>
        </row>
        <row r="188">
          <cell r="B188" t="str">
            <v>Permadani 190x260</v>
          </cell>
          <cell r="C188">
            <v>330</v>
          </cell>
        </row>
        <row r="189">
          <cell r="B189" t="str">
            <v>Permadani 210x310</v>
          </cell>
          <cell r="C189">
            <v>420</v>
          </cell>
        </row>
        <row r="190">
          <cell r="B190" t="str">
            <v>Plastik Bantal</v>
          </cell>
          <cell r="C190">
            <v>1000</v>
          </cell>
        </row>
        <row r="191">
          <cell r="B191" t="str">
            <v>Plastik Bantal Royal Charier</v>
          </cell>
          <cell r="C191">
            <v>3000</v>
          </cell>
        </row>
        <row r="192">
          <cell r="B192" t="str">
            <v>Plastik Guling</v>
          </cell>
          <cell r="C192">
            <v>1000</v>
          </cell>
        </row>
        <row r="193">
          <cell r="B193" t="str">
            <v>Plastik Guling Royal Charier</v>
          </cell>
          <cell r="C193">
            <v>3000</v>
          </cell>
        </row>
        <row r="194">
          <cell r="B194" t="str">
            <v>Plastik PE</v>
          </cell>
          <cell r="C194">
            <v>29000</v>
          </cell>
        </row>
        <row r="195">
          <cell r="B195" t="str">
            <v>Plastik PE KW 1</v>
          </cell>
          <cell r="C195">
            <v>32000</v>
          </cell>
        </row>
        <row r="196">
          <cell r="B196" t="str">
            <v>Plastik PE Kw 2</v>
          </cell>
          <cell r="C196">
            <v>30000</v>
          </cell>
        </row>
        <row r="197">
          <cell r="B197" t="str">
            <v>Psf HS</v>
          </cell>
          <cell r="C197">
            <v>17250</v>
          </cell>
        </row>
        <row r="198">
          <cell r="B198" t="str">
            <v>Rasfur 10 Mm</v>
          </cell>
          <cell r="C198">
            <v>18000</v>
          </cell>
        </row>
        <row r="199">
          <cell r="B199" t="str">
            <v>Resleting Nomer 5</v>
          </cell>
          <cell r="C199">
            <v>50000</v>
          </cell>
        </row>
        <row r="200">
          <cell r="B200" t="str">
            <v>Saeung Disperse 140x20</v>
          </cell>
          <cell r="C200">
            <v>73000</v>
          </cell>
        </row>
        <row r="201">
          <cell r="B201" t="str">
            <v>Sajadah Rasfur</v>
          </cell>
          <cell r="C201">
            <v>30000</v>
          </cell>
        </row>
        <row r="202">
          <cell r="B202" t="str">
            <v>Sarung 140x28x195</v>
          </cell>
          <cell r="C202">
            <v>77000</v>
          </cell>
        </row>
        <row r="203">
          <cell r="B203" t="str">
            <v>Sarung Busa 120x12</v>
          </cell>
          <cell r="C203">
            <v>65000</v>
          </cell>
        </row>
        <row r="204">
          <cell r="B204" t="str">
            <v>Sarung Busa 160x30x200</v>
          </cell>
          <cell r="C204">
            <v>85000</v>
          </cell>
        </row>
        <row r="205">
          <cell r="B205" t="str">
            <v>Sarung Busa 70x14x200</v>
          </cell>
          <cell r="C205">
            <v>54000</v>
          </cell>
        </row>
        <row r="206">
          <cell r="B206" t="str">
            <v>Sarung Busa Ukr 90x12</v>
          </cell>
          <cell r="C206">
            <v>45000</v>
          </cell>
        </row>
        <row r="207">
          <cell r="B207" t="str">
            <v>Sarung Busa Ukr 90x13</v>
          </cell>
          <cell r="C207">
            <v>45000</v>
          </cell>
        </row>
        <row r="208">
          <cell r="B208" t="str">
            <v>Sarung Disperse 120x14</v>
          </cell>
          <cell r="C208">
            <v>63000</v>
          </cell>
        </row>
        <row r="209">
          <cell r="B209" t="str">
            <v>Sarung Disperse 120x17</v>
          </cell>
          <cell r="C209">
            <v>65000</v>
          </cell>
        </row>
        <row r="210">
          <cell r="B210" t="str">
            <v>Sarung Disperse 120x20</v>
          </cell>
          <cell r="C210">
            <v>63000</v>
          </cell>
        </row>
        <row r="211">
          <cell r="B211" t="str">
            <v>Sarung Disperse 120x30</v>
          </cell>
          <cell r="C211">
            <v>67000</v>
          </cell>
        </row>
        <row r="212">
          <cell r="B212" t="str">
            <v>Sarung Disperse 140x14</v>
          </cell>
          <cell r="C212">
            <v>68000</v>
          </cell>
        </row>
        <row r="213">
          <cell r="B213" t="str">
            <v>Sarung Disperse 140x14 A</v>
          </cell>
          <cell r="C213">
            <v>73000</v>
          </cell>
        </row>
        <row r="214">
          <cell r="B214" t="str">
            <v>Sarung Disperse 140x17</v>
          </cell>
          <cell r="C214">
            <v>75000</v>
          </cell>
        </row>
        <row r="215">
          <cell r="B215" t="str">
            <v>Sarung Disperse 140x20</v>
          </cell>
          <cell r="C215">
            <v>77000</v>
          </cell>
        </row>
        <row r="216">
          <cell r="B216" t="str">
            <v>Sarung Disperse 160x14</v>
          </cell>
          <cell r="C216">
            <v>82000</v>
          </cell>
        </row>
        <row r="217">
          <cell r="B217" t="str">
            <v>Sarung Disperse 160x17</v>
          </cell>
          <cell r="C217">
            <v>85000</v>
          </cell>
        </row>
        <row r="218">
          <cell r="B218" t="str">
            <v>Sarung Disperse 160x20</v>
          </cell>
          <cell r="C218">
            <v>85000</v>
          </cell>
        </row>
        <row r="219">
          <cell r="B219" t="str">
            <v>Sarung Disperse 90x14x200</v>
          </cell>
          <cell r="C219">
            <v>43000</v>
          </cell>
        </row>
        <row r="220">
          <cell r="B220" t="str">
            <v>Sarung Disperse Ukr 100x14</v>
          </cell>
          <cell r="C220">
            <v>48000</v>
          </cell>
        </row>
        <row r="221">
          <cell r="B221" t="str">
            <v>Sarung Disperse Ukr 120x14</v>
          </cell>
          <cell r="C221">
            <v>58000</v>
          </cell>
        </row>
        <row r="222">
          <cell r="B222" t="str">
            <v>Sarung Disperse Ukr 120x25</v>
          </cell>
          <cell r="C222">
            <v>65000</v>
          </cell>
        </row>
        <row r="223">
          <cell r="B223" t="str">
            <v>Sarung Disperse Ukr 90x20x200</v>
          </cell>
          <cell r="C223">
            <v>48000</v>
          </cell>
        </row>
        <row r="224">
          <cell r="B224" t="str">
            <v>Sarung Dsiperse 100x20</v>
          </cell>
          <cell r="C224">
            <v>53000</v>
          </cell>
        </row>
        <row r="225">
          <cell r="B225" t="str">
            <v>Sarung Knitting 120x14</v>
          </cell>
          <cell r="C225">
            <v>95000</v>
          </cell>
        </row>
        <row r="226">
          <cell r="B226" t="str">
            <v>Sarung Knitting 120x17</v>
          </cell>
          <cell r="C226">
            <v>99000</v>
          </cell>
        </row>
        <row r="227">
          <cell r="B227" t="str">
            <v>Sarung Knitting 120x20</v>
          </cell>
          <cell r="C227">
            <v>103000</v>
          </cell>
        </row>
        <row r="228">
          <cell r="B228" t="str">
            <v>Sarung Knitting 140x17</v>
          </cell>
          <cell r="C228">
            <v>109000</v>
          </cell>
        </row>
        <row r="229">
          <cell r="B229" t="str">
            <v>Sarung Knitting 140x20</v>
          </cell>
          <cell r="C229">
            <v>113000</v>
          </cell>
        </row>
        <row r="230">
          <cell r="B230" t="str">
            <v>Sarung Knitting 160x14</v>
          </cell>
          <cell r="C230">
            <v>119000</v>
          </cell>
        </row>
        <row r="231">
          <cell r="B231" t="str">
            <v>Sarung Knitting 160x17</v>
          </cell>
          <cell r="C231">
            <v>115000</v>
          </cell>
        </row>
        <row r="232">
          <cell r="B232" t="str">
            <v>Sarung Knitting 160x20</v>
          </cell>
          <cell r="C232">
            <v>123000</v>
          </cell>
        </row>
        <row r="233">
          <cell r="B233" t="str">
            <v>Shimano</v>
          </cell>
          <cell r="C233">
            <v>80000</v>
          </cell>
        </row>
        <row r="234">
          <cell r="B234" t="str">
            <v>Silikon</v>
          </cell>
          <cell r="C234">
            <v>19500</v>
          </cell>
        </row>
        <row r="235">
          <cell r="B235" t="str">
            <v>Silikon A</v>
          </cell>
          <cell r="C235">
            <v>19500</v>
          </cell>
        </row>
        <row r="236">
          <cell r="B236" t="str">
            <v>Silikon AA</v>
          </cell>
          <cell r="C236">
            <v>22000</v>
          </cell>
        </row>
        <row r="237">
          <cell r="B237" t="str">
            <v>Silikon B+</v>
          </cell>
          <cell r="C237">
            <v>16500</v>
          </cell>
        </row>
        <row r="238">
          <cell r="B238" t="str">
            <v>Silikon HS</v>
          </cell>
          <cell r="C238">
            <v>18200</v>
          </cell>
        </row>
        <row r="239">
          <cell r="B239" t="str">
            <v>Silikon Super HS</v>
          </cell>
          <cell r="C239">
            <v>15000</v>
          </cell>
        </row>
        <row r="240">
          <cell r="B240" t="str">
            <v>Skin Boneka Atas</v>
          </cell>
          <cell r="C240">
            <v>9000</v>
          </cell>
        </row>
        <row r="241">
          <cell r="B241" t="str">
            <v>Spunbond</v>
          </cell>
          <cell r="C241">
            <v>350000</v>
          </cell>
        </row>
        <row r="242">
          <cell r="B242" t="str">
            <v>Spunbond 50 Gram</v>
          </cell>
          <cell r="C242">
            <v>190000</v>
          </cell>
        </row>
        <row r="243">
          <cell r="B243" t="str">
            <v>Surpet</v>
          </cell>
          <cell r="C243">
            <v>50000</v>
          </cell>
        </row>
        <row r="244">
          <cell r="B244" t="str">
            <v>Surpet 100x5</v>
          </cell>
          <cell r="C244">
            <v>92000</v>
          </cell>
        </row>
        <row r="245">
          <cell r="B245" t="str">
            <v>Surpet 120x5</v>
          </cell>
          <cell r="C245">
            <v>97000</v>
          </cell>
        </row>
        <row r="246">
          <cell r="B246" t="str">
            <v>Surpet A</v>
          </cell>
          <cell r="C246">
            <v>48000</v>
          </cell>
        </row>
        <row r="247">
          <cell r="B247" t="str">
            <v>Surpet AA</v>
          </cell>
          <cell r="C247">
            <v>55000</v>
          </cell>
        </row>
        <row r="248">
          <cell r="B248" t="str">
            <v>Tas Sajadah</v>
          </cell>
          <cell r="C248">
            <v>4000</v>
          </cell>
        </row>
        <row r="249">
          <cell r="B249" t="str">
            <v>Tikar Eva</v>
          </cell>
          <cell r="C249">
            <v>14500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usatkasur.com/" TargetMode="External"/><Relationship Id="rId18" Type="http://schemas.openxmlformats.org/officeDocument/2006/relationships/hyperlink" Target="http://www.pusatkasur.com/" TargetMode="External"/><Relationship Id="rId26" Type="http://schemas.openxmlformats.org/officeDocument/2006/relationships/hyperlink" Target="http://www.pusatkasur.com/" TargetMode="External"/><Relationship Id="rId39" Type="http://schemas.openxmlformats.org/officeDocument/2006/relationships/hyperlink" Target="http://www.pusatkasur.com/" TargetMode="External"/><Relationship Id="rId21" Type="http://schemas.openxmlformats.org/officeDocument/2006/relationships/hyperlink" Target="http://www.pusatkasur.com/" TargetMode="External"/><Relationship Id="rId34" Type="http://schemas.openxmlformats.org/officeDocument/2006/relationships/hyperlink" Target="http://www.pusatkasur.com/" TargetMode="External"/><Relationship Id="rId42" Type="http://schemas.openxmlformats.org/officeDocument/2006/relationships/hyperlink" Target="http://www.pusatkasur.com/" TargetMode="External"/><Relationship Id="rId47" Type="http://schemas.openxmlformats.org/officeDocument/2006/relationships/hyperlink" Target="http://www.pusatkasur.com/" TargetMode="External"/><Relationship Id="rId50" Type="http://schemas.openxmlformats.org/officeDocument/2006/relationships/hyperlink" Target="http://www.pusatkasur.com/" TargetMode="External"/><Relationship Id="rId55" Type="http://schemas.openxmlformats.org/officeDocument/2006/relationships/hyperlink" Target="http://www.pusatkasur.com/" TargetMode="External"/><Relationship Id="rId63" Type="http://schemas.openxmlformats.org/officeDocument/2006/relationships/hyperlink" Target="http://www.pusatkasur.com/" TargetMode="External"/><Relationship Id="rId68" Type="http://schemas.openxmlformats.org/officeDocument/2006/relationships/hyperlink" Target="http://www.pusatkasur.com/" TargetMode="External"/><Relationship Id="rId76" Type="http://schemas.openxmlformats.org/officeDocument/2006/relationships/hyperlink" Target="http://www.pusatkasur.com/" TargetMode="External"/><Relationship Id="rId84" Type="http://schemas.openxmlformats.org/officeDocument/2006/relationships/hyperlink" Target="http://www.pusatkasur.com/" TargetMode="External"/><Relationship Id="rId89" Type="http://schemas.openxmlformats.org/officeDocument/2006/relationships/hyperlink" Target="http://www.pusatkasur.com/" TargetMode="External"/><Relationship Id="rId7" Type="http://schemas.openxmlformats.org/officeDocument/2006/relationships/hyperlink" Target="http://www.pusatkasur.com/" TargetMode="External"/><Relationship Id="rId71" Type="http://schemas.openxmlformats.org/officeDocument/2006/relationships/hyperlink" Target="http://www.pusatkasur.com/" TargetMode="External"/><Relationship Id="rId92" Type="http://schemas.openxmlformats.org/officeDocument/2006/relationships/hyperlink" Target="http://www.pusatkasur.com/" TargetMode="External"/><Relationship Id="rId2" Type="http://schemas.openxmlformats.org/officeDocument/2006/relationships/hyperlink" Target="http://www.pusatkasur.com/" TargetMode="External"/><Relationship Id="rId16" Type="http://schemas.openxmlformats.org/officeDocument/2006/relationships/hyperlink" Target="http://www.pusatkasur.com/" TargetMode="External"/><Relationship Id="rId29" Type="http://schemas.openxmlformats.org/officeDocument/2006/relationships/hyperlink" Target="http://www.pusatkasur.com/" TargetMode="External"/><Relationship Id="rId11" Type="http://schemas.openxmlformats.org/officeDocument/2006/relationships/hyperlink" Target="http://www.pusatkasur.com/" TargetMode="External"/><Relationship Id="rId24" Type="http://schemas.openxmlformats.org/officeDocument/2006/relationships/hyperlink" Target="http://www.pusatkasur.com/" TargetMode="External"/><Relationship Id="rId32" Type="http://schemas.openxmlformats.org/officeDocument/2006/relationships/hyperlink" Target="http://www.pusatkasur.com/" TargetMode="External"/><Relationship Id="rId37" Type="http://schemas.openxmlformats.org/officeDocument/2006/relationships/hyperlink" Target="http://www.pusatkasur.com/" TargetMode="External"/><Relationship Id="rId40" Type="http://schemas.openxmlformats.org/officeDocument/2006/relationships/hyperlink" Target="http://www.pusatkasur.com/" TargetMode="External"/><Relationship Id="rId45" Type="http://schemas.openxmlformats.org/officeDocument/2006/relationships/hyperlink" Target="http://www.pusatkasur.com/" TargetMode="External"/><Relationship Id="rId53" Type="http://schemas.openxmlformats.org/officeDocument/2006/relationships/hyperlink" Target="http://www.pusatkasur.com/" TargetMode="External"/><Relationship Id="rId58" Type="http://schemas.openxmlformats.org/officeDocument/2006/relationships/hyperlink" Target="http://www.pusatkasur.com/" TargetMode="External"/><Relationship Id="rId66" Type="http://schemas.openxmlformats.org/officeDocument/2006/relationships/hyperlink" Target="http://www.pusatkasur.com/" TargetMode="External"/><Relationship Id="rId74" Type="http://schemas.openxmlformats.org/officeDocument/2006/relationships/hyperlink" Target="http://www.pusatkasur.com/" TargetMode="External"/><Relationship Id="rId79" Type="http://schemas.openxmlformats.org/officeDocument/2006/relationships/hyperlink" Target="http://www.pusatkasur.com/" TargetMode="External"/><Relationship Id="rId87" Type="http://schemas.openxmlformats.org/officeDocument/2006/relationships/hyperlink" Target="http://www.pusatkasur.com/" TargetMode="External"/><Relationship Id="rId5" Type="http://schemas.openxmlformats.org/officeDocument/2006/relationships/hyperlink" Target="http://www.pusatkasur.com/" TargetMode="External"/><Relationship Id="rId61" Type="http://schemas.openxmlformats.org/officeDocument/2006/relationships/hyperlink" Target="http://www.pusatkasur.com/" TargetMode="External"/><Relationship Id="rId82" Type="http://schemas.openxmlformats.org/officeDocument/2006/relationships/hyperlink" Target="http://www.pusatkasur.com/" TargetMode="External"/><Relationship Id="rId90" Type="http://schemas.openxmlformats.org/officeDocument/2006/relationships/hyperlink" Target="http://www.pusatkasur.com/" TargetMode="External"/><Relationship Id="rId95" Type="http://schemas.openxmlformats.org/officeDocument/2006/relationships/hyperlink" Target="http://www.pusatkasur.com/" TargetMode="External"/><Relationship Id="rId19" Type="http://schemas.openxmlformats.org/officeDocument/2006/relationships/hyperlink" Target="http://www.pusatkasur.com/" TargetMode="External"/><Relationship Id="rId14" Type="http://schemas.openxmlformats.org/officeDocument/2006/relationships/hyperlink" Target="http://www.pusatkasur.com/" TargetMode="External"/><Relationship Id="rId22" Type="http://schemas.openxmlformats.org/officeDocument/2006/relationships/hyperlink" Target="http://www.pusatkasur.com/" TargetMode="External"/><Relationship Id="rId27" Type="http://schemas.openxmlformats.org/officeDocument/2006/relationships/hyperlink" Target="http://www.pusatkasur.com/" TargetMode="External"/><Relationship Id="rId30" Type="http://schemas.openxmlformats.org/officeDocument/2006/relationships/hyperlink" Target="http://www.pusatkasur.com/" TargetMode="External"/><Relationship Id="rId35" Type="http://schemas.openxmlformats.org/officeDocument/2006/relationships/hyperlink" Target="http://www.pusatkasur.com/" TargetMode="External"/><Relationship Id="rId43" Type="http://schemas.openxmlformats.org/officeDocument/2006/relationships/hyperlink" Target="http://www.pusatkasur.com/" TargetMode="External"/><Relationship Id="rId48" Type="http://schemas.openxmlformats.org/officeDocument/2006/relationships/hyperlink" Target="http://www.pusatkasur.com/" TargetMode="External"/><Relationship Id="rId56" Type="http://schemas.openxmlformats.org/officeDocument/2006/relationships/hyperlink" Target="http://www.pusatkasur.com/" TargetMode="External"/><Relationship Id="rId64" Type="http://schemas.openxmlformats.org/officeDocument/2006/relationships/hyperlink" Target="http://www.pusatkasur.com/" TargetMode="External"/><Relationship Id="rId69" Type="http://schemas.openxmlformats.org/officeDocument/2006/relationships/hyperlink" Target="http://www.pusatkasur.com/" TargetMode="External"/><Relationship Id="rId77" Type="http://schemas.openxmlformats.org/officeDocument/2006/relationships/hyperlink" Target="http://www.pusatkasur.com/" TargetMode="External"/><Relationship Id="rId8" Type="http://schemas.openxmlformats.org/officeDocument/2006/relationships/hyperlink" Target="http://www.pusatkasur.com/" TargetMode="External"/><Relationship Id="rId51" Type="http://schemas.openxmlformats.org/officeDocument/2006/relationships/hyperlink" Target="http://www.pusatkasur.com/" TargetMode="External"/><Relationship Id="rId72" Type="http://schemas.openxmlformats.org/officeDocument/2006/relationships/hyperlink" Target="http://www.pusatkasur.com/" TargetMode="External"/><Relationship Id="rId80" Type="http://schemas.openxmlformats.org/officeDocument/2006/relationships/hyperlink" Target="http://www.pusatkasur.com/" TargetMode="External"/><Relationship Id="rId85" Type="http://schemas.openxmlformats.org/officeDocument/2006/relationships/hyperlink" Target="http://www.pusatkasur.com/" TargetMode="External"/><Relationship Id="rId93" Type="http://schemas.openxmlformats.org/officeDocument/2006/relationships/hyperlink" Target="http://www.pusatkasur.com/" TargetMode="External"/><Relationship Id="rId3" Type="http://schemas.openxmlformats.org/officeDocument/2006/relationships/hyperlink" Target="http://www.pusatkasur.com/" TargetMode="External"/><Relationship Id="rId12" Type="http://schemas.openxmlformats.org/officeDocument/2006/relationships/hyperlink" Target="http://www.pusatkasur.com/" TargetMode="External"/><Relationship Id="rId17" Type="http://schemas.openxmlformats.org/officeDocument/2006/relationships/hyperlink" Target="http://www.pusatkasur.com/" TargetMode="External"/><Relationship Id="rId25" Type="http://schemas.openxmlformats.org/officeDocument/2006/relationships/hyperlink" Target="http://www.pusatkasur.com/" TargetMode="External"/><Relationship Id="rId33" Type="http://schemas.openxmlformats.org/officeDocument/2006/relationships/hyperlink" Target="http://www.pusatkasur.com/" TargetMode="External"/><Relationship Id="rId38" Type="http://schemas.openxmlformats.org/officeDocument/2006/relationships/hyperlink" Target="http://www.pusatkasur.com/" TargetMode="External"/><Relationship Id="rId46" Type="http://schemas.openxmlformats.org/officeDocument/2006/relationships/hyperlink" Target="http://www.pusatkasur.com/" TargetMode="External"/><Relationship Id="rId59" Type="http://schemas.openxmlformats.org/officeDocument/2006/relationships/hyperlink" Target="http://www.pusatkasur.com/" TargetMode="External"/><Relationship Id="rId67" Type="http://schemas.openxmlformats.org/officeDocument/2006/relationships/hyperlink" Target="http://www.pusatkasur.com/" TargetMode="External"/><Relationship Id="rId20" Type="http://schemas.openxmlformats.org/officeDocument/2006/relationships/hyperlink" Target="http://www.pusatkasur.com/" TargetMode="External"/><Relationship Id="rId41" Type="http://schemas.openxmlformats.org/officeDocument/2006/relationships/hyperlink" Target="http://www.pusatkasur.com/" TargetMode="External"/><Relationship Id="rId54" Type="http://schemas.openxmlformats.org/officeDocument/2006/relationships/hyperlink" Target="http://www.pusatkasur.com/" TargetMode="External"/><Relationship Id="rId62" Type="http://schemas.openxmlformats.org/officeDocument/2006/relationships/hyperlink" Target="http://www.pusatkasur.com/" TargetMode="External"/><Relationship Id="rId70" Type="http://schemas.openxmlformats.org/officeDocument/2006/relationships/hyperlink" Target="http://www.pusatkasur.com/" TargetMode="External"/><Relationship Id="rId75" Type="http://schemas.openxmlformats.org/officeDocument/2006/relationships/hyperlink" Target="http://www.pusatkasur.com/" TargetMode="External"/><Relationship Id="rId83" Type="http://schemas.openxmlformats.org/officeDocument/2006/relationships/hyperlink" Target="http://www.pusatkasur.com/" TargetMode="External"/><Relationship Id="rId88" Type="http://schemas.openxmlformats.org/officeDocument/2006/relationships/hyperlink" Target="http://www.pusatkasur.com/" TargetMode="External"/><Relationship Id="rId91" Type="http://schemas.openxmlformats.org/officeDocument/2006/relationships/hyperlink" Target="http://www.pusatkasur.com/" TargetMode="External"/><Relationship Id="rId96" Type="http://schemas.openxmlformats.org/officeDocument/2006/relationships/printerSettings" Target="../printerSettings/printerSettings1.bin"/><Relationship Id="rId1" Type="http://schemas.openxmlformats.org/officeDocument/2006/relationships/hyperlink" Target="http://www.pusatkasur.com/" TargetMode="External"/><Relationship Id="rId6" Type="http://schemas.openxmlformats.org/officeDocument/2006/relationships/hyperlink" Target="http://www.pusatkasur.com/" TargetMode="External"/><Relationship Id="rId15" Type="http://schemas.openxmlformats.org/officeDocument/2006/relationships/hyperlink" Target="http://www.pusatkasur.com/" TargetMode="External"/><Relationship Id="rId23" Type="http://schemas.openxmlformats.org/officeDocument/2006/relationships/hyperlink" Target="http://www.pusatkasur.com/" TargetMode="External"/><Relationship Id="rId28" Type="http://schemas.openxmlformats.org/officeDocument/2006/relationships/hyperlink" Target="http://www.pusatkasur.com/" TargetMode="External"/><Relationship Id="rId36" Type="http://schemas.openxmlformats.org/officeDocument/2006/relationships/hyperlink" Target="http://www.pusatkasur.com/" TargetMode="External"/><Relationship Id="rId49" Type="http://schemas.openxmlformats.org/officeDocument/2006/relationships/hyperlink" Target="http://www.pusatkasur.com/" TargetMode="External"/><Relationship Id="rId57" Type="http://schemas.openxmlformats.org/officeDocument/2006/relationships/hyperlink" Target="http://www.pusatkasur.com/" TargetMode="External"/><Relationship Id="rId10" Type="http://schemas.openxmlformats.org/officeDocument/2006/relationships/hyperlink" Target="http://www.pusatkasur.com/" TargetMode="External"/><Relationship Id="rId31" Type="http://schemas.openxmlformats.org/officeDocument/2006/relationships/hyperlink" Target="http://www.pusatkasur.com/" TargetMode="External"/><Relationship Id="rId44" Type="http://schemas.openxmlformats.org/officeDocument/2006/relationships/hyperlink" Target="http://www.pusatkasur.com/" TargetMode="External"/><Relationship Id="rId52" Type="http://schemas.openxmlformats.org/officeDocument/2006/relationships/hyperlink" Target="http://www.pusatkasur.com/" TargetMode="External"/><Relationship Id="rId60" Type="http://schemas.openxmlformats.org/officeDocument/2006/relationships/hyperlink" Target="http://www.pusatkasur.com/" TargetMode="External"/><Relationship Id="rId65" Type="http://schemas.openxmlformats.org/officeDocument/2006/relationships/hyperlink" Target="http://www.pusatkasur.com/" TargetMode="External"/><Relationship Id="rId73" Type="http://schemas.openxmlformats.org/officeDocument/2006/relationships/hyperlink" Target="http://www.pusatkasur.com/" TargetMode="External"/><Relationship Id="rId78" Type="http://schemas.openxmlformats.org/officeDocument/2006/relationships/hyperlink" Target="http://www.pusatkasur.com/" TargetMode="External"/><Relationship Id="rId81" Type="http://schemas.openxmlformats.org/officeDocument/2006/relationships/hyperlink" Target="http://www.pusatkasur.com/" TargetMode="External"/><Relationship Id="rId86" Type="http://schemas.openxmlformats.org/officeDocument/2006/relationships/hyperlink" Target="http://www.pusatkasur.com/" TargetMode="External"/><Relationship Id="rId94" Type="http://schemas.openxmlformats.org/officeDocument/2006/relationships/hyperlink" Target="http://www.pusatkasur.com/" TargetMode="External"/><Relationship Id="rId4" Type="http://schemas.openxmlformats.org/officeDocument/2006/relationships/hyperlink" Target="http://www.pusatkasur.com/" TargetMode="External"/><Relationship Id="rId9" Type="http://schemas.openxmlformats.org/officeDocument/2006/relationships/hyperlink" Target="http://www.pusatkasur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pusatkasur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usatkasu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58"/>
  <sheetViews>
    <sheetView topLeftCell="A2135" workbookViewId="0">
      <selection activeCell="A2135" sqref="A2135:D2135"/>
    </sheetView>
  </sheetViews>
  <sheetFormatPr defaultColWidth="9" defaultRowHeight="15"/>
  <cols>
    <col min="1" max="1" width="11.5703125" customWidth="1"/>
    <col min="2" max="2" width="1.140625" customWidth="1"/>
    <col min="3" max="3" width="26" customWidth="1"/>
    <col min="4" max="4" width="28.140625" customWidth="1"/>
    <col min="5" max="5" width="18.7109375" customWidth="1"/>
    <col min="6" max="6" width="8" customWidth="1"/>
    <col min="7" max="7" width="8.5703125" customWidth="1"/>
    <col min="8" max="8" width="12" customWidth="1"/>
    <col min="9" max="10" width="12.42578125" customWidth="1"/>
  </cols>
  <sheetData>
    <row r="1" spans="1:5" ht="27">
      <c r="A1" s="2" t="s">
        <v>0</v>
      </c>
      <c r="B1" s="2"/>
    </row>
    <row r="2" spans="1:5">
      <c r="A2" t="s">
        <v>1</v>
      </c>
      <c r="C2" t="s">
        <v>2</v>
      </c>
      <c r="D2" t="s">
        <v>3</v>
      </c>
      <c r="E2" s="85">
        <v>43780</v>
      </c>
    </row>
    <row r="3" spans="1:5">
      <c r="C3" t="s">
        <v>4</v>
      </c>
      <c r="D3" t="s">
        <v>5</v>
      </c>
      <c r="E3" s="86" t="s">
        <v>6</v>
      </c>
    </row>
    <row r="4" spans="1:5">
      <c r="C4" t="s">
        <v>7</v>
      </c>
      <c r="D4" s="86"/>
      <c r="E4" s="86"/>
    </row>
    <row r="5" spans="1:5">
      <c r="A5" t="s">
        <v>8</v>
      </c>
      <c r="C5" s="87" t="s">
        <v>9</v>
      </c>
      <c r="D5" t="s">
        <v>10</v>
      </c>
      <c r="E5" s="114" t="s">
        <v>11</v>
      </c>
    </row>
    <row r="6" spans="1:5">
      <c r="A6" t="s">
        <v>12</v>
      </c>
      <c r="C6" t="s">
        <v>13</v>
      </c>
      <c r="D6" t="s">
        <v>14</v>
      </c>
      <c r="E6" t="s">
        <v>11</v>
      </c>
    </row>
    <row r="7" spans="1:5">
      <c r="A7" s="88" t="s">
        <v>15</v>
      </c>
      <c r="B7" s="89"/>
      <c r="C7" s="88" t="s">
        <v>16</v>
      </c>
      <c r="D7" s="95" t="s">
        <v>17</v>
      </c>
      <c r="E7" s="95" t="s">
        <v>18</v>
      </c>
    </row>
    <row r="8" spans="1:5">
      <c r="A8" s="90">
        <v>5</v>
      </c>
      <c r="B8" s="91"/>
      <c r="C8" s="88" t="s">
        <v>19</v>
      </c>
      <c r="D8" s="96">
        <v>45000</v>
      </c>
      <c r="E8" s="96">
        <f>IF(D8="-","-",A8*D8)</f>
        <v>225000</v>
      </c>
    </row>
    <row r="9" spans="1:5">
      <c r="A9" s="90">
        <v>5</v>
      </c>
      <c r="B9" s="91"/>
      <c r="C9" s="88" t="s">
        <v>20</v>
      </c>
      <c r="D9" s="96">
        <v>55000</v>
      </c>
      <c r="E9" s="96">
        <f>IF(D9="-","-",A9*D9)</f>
        <v>275000</v>
      </c>
    </row>
    <row r="10" spans="1:5">
      <c r="A10" s="90">
        <v>3</v>
      </c>
      <c r="B10" s="91"/>
      <c r="C10" s="88" t="s">
        <v>21</v>
      </c>
      <c r="D10" s="96">
        <v>65000</v>
      </c>
      <c r="E10" s="96">
        <f>IF(D10="-","-",A10*D10)</f>
        <v>195000</v>
      </c>
    </row>
    <row r="11" spans="1:5">
      <c r="A11" s="90">
        <v>3</v>
      </c>
      <c r="B11" s="91"/>
      <c r="C11" s="88" t="s">
        <v>22</v>
      </c>
      <c r="D11" s="96">
        <v>75000</v>
      </c>
      <c r="E11" s="96">
        <f>IF(D11="-","-",A11*D11)</f>
        <v>225000</v>
      </c>
    </row>
    <row r="12" spans="1:5">
      <c r="A12" s="90"/>
      <c r="B12" s="91"/>
      <c r="C12" s="88"/>
      <c r="D12" s="96"/>
      <c r="E12" s="96"/>
    </row>
    <row r="13" spans="1:5">
      <c r="A13" s="90"/>
      <c r="B13" s="91"/>
      <c r="C13" s="88"/>
      <c r="D13" s="96" t="str">
        <f t="shared" ref="D13:D18" si="0">IF(B13&lt;1,"-",VLOOKUP(B13,HARGA01,3))</f>
        <v>-</v>
      </c>
      <c r="E13" s="96" t="str">
        <f t="shared" ref="E13:E18" si="1">IF(D13="-","-",A13*D13)</f>
        <v>-</v>
      </c>
    </row>
    <row r="14" spans="1:5">
      <c r="A14" s="90"/>
      <c r="B14" s="91"/>
      <c r="C14" s="88"/>
      <c r="D14" s="96" t="str">
        <f t="shared" si="0"/>
        <v>-</v>
      </c>
      <c r="E14" s="96" t="str">
        <f t="shared" si="1"/>
        <v>-</v>
      </c>
    </row>
    <row r="15" spans="1:5">
      <c r="A15" s="90"/>
      <c r="B15" s="91"/>
      <c r="C15" s="88"/>
      <c r="D15" s="96" t="str">
        <f t="shared" si="0"/>
        <v>-</v>
      </c>
      <c r="E15" s="96" t="str">
        <f t="shared" si="1"/>
        <v>-</v>
      </c>
    </row>
    <row r="16" spans="1:5">
      <c r="A16" s="90"/>
      <c r="B16" s="91"/>
      <c r="C16" s="88" t="str">
        <f>IF(B16&lt;1,"-",VLOOKUP(B16,HARGA01,2))</f>
        <v>-</v>
      </c>
      <c r="D16" s="96" t="str">
        <f t="shared" si="0"/>
        <v>-</v>
      </c>
      <c r="E16" s="96" t="str">
        <f t="shared" si="1"/>
        <v>-</v>
      </c>
    </row>
    <row r="17" spans="1:5">
      <c r="A17" s="90"/>
      <c r="B17" s="91"/>
      <c r="C17" s="88" t="str">
        <f>IF(B17&lt;1,"-",VLOOKUP(B17,HARGA01,2))</f>
        <v>-</v>
      </c>
      <c r="D17" s="96" t="str">
        <f t="shared" si="0"/>
        <v>-</v>
      </c>
      <c r="E17" s="96" t="str">
        <f t="shared" si="1"/>
        <v>-</v>
      </c>
    </row>
    <row r="18" spans="1:5">
      <c r="A18" s="90"/>
      <c r="B18" s="91"/>
      <c r="C18" s="88" t="str">
        <f>IF(B18&lt;1,"-",VLOOKUP(B18,HARGA01,2))</f>
        <v>-</v>
      </c>
      <c r="D18" s="96" t="str">
        <f t="shared" si="0"/>
        <v>-</v>
      </c>
      <c r="E18" s="96" t="str">
        <f t="shared" si="1"/>
        <v>-</v>
      </c>
    </row>
    <row r="19" spans="1:5">
      <c r="A19" s="634" t="s">
        <v>23</v>
      </c>
      <c r="B19" s="635"/>
      <c r="C19" s="634"/>
      <c r="D19" s="636"/>
      <c r="E19" s="96">
        <f>SUM(E8:E18)</f>
        <v>920000</v>
      </c>
    </row>
    <row r="20" spans="1:5">
      <c r="A20" s="28" t="s">
        <v>24</v>
      </c>
      <c r="B20" s="28"/>
      <c r="D20" s="637" t="s">
        <v>25</v>
      </c>
      <c r="E20" s="637"/>
    </row>
    <row r="23" spans="1:5">
      <c r="A23" t="s">
        <v>26</v>
      </c>
      <c r="D23" s="94" t="s">
        <v>27</v>
      </c>
      <c r="E23" s="25"/>
    </row>
    <row r="24" spans="1:5" ht="27">
      <c r="A24" s="2" t="s">
        <v>0</v>
      </c>
      <c r="B24" s="2"/>
    </row>
    <row r="25" spans="1:5">
      <c r="A25" t="s">
        <v>1</v>
      </c>
      <c r="C25" t="s">
        <v>2</v>
      </c>
      <c r="D25" t="s">
        <v>3</v>
      </c>
      <c r="E25" s="85">
        <v>43786</v>
      </c>
    </row>
    <row r="26" spans="1:5">
      <c r="C26" t="s">
        <v>4</v>
      </c>
      <c r="D26" t="s">
        <v>5</v>
      </c>
      <c r="E26" t="s">
        <v>28</v>
      </c>
    </row>
    <row r="27" spans="1:5">
      <c r="C27" t="s">
        <v>7</v>
      </c>
      <c r="D27" s="86"/>
      <c r="E27" s="86" t="s">
        <v>29</v>
      </c>
    </row>
    <row r="28" spans="1:5">
      <c r="A28" t="s">
        <v>8</v>
      </c>
      <c r="C28" s="87" t="s">
        <v>9</v>
      </c>
      <c r="D28" t="s">
        <v>10</v>
      </c>
      <c r="E28" s="114" t="s">
        <v>11</v>
      </c>
    </row>
    <row r="29" spans="1:5">
      <c r="A29" t="s">
        <v>12</v>
      </c>
      <c r="C29" t="s">
        <v>13</v>
      </c>
      <c r="D29" t="s">
        <v>14</v>
      </c>
      <c r="E29" t="s">
        <v>11</v>
      </c>
    </row>
    <row r="30" spans="1:5">
      <c r="A30" s="88" t="s">
        <v>15</v>
      </c>
      <c r="B30" s="89"/>
      <c r="C30" s="88" t="s">
        <v>16</v>
      </c>
      <c r="D30" s="95" t="s">
        <v>17</v>
      </c>
      <c r="E30" s="95" t="s">
        <v>18</v>
      </c>
    </row>
    <row r="31" spans="1:5">
      <c r="A31" s="90">
        <v>5</v>
      </c>
      <c r="B31" s="91"/>
      <c r="C31" s="88" t="s">
        <v>30</v>
      </c>
      <c r="D31" s="96">
        <v>92000</v>
      </c>
      <c r="E31" s="96">
        <f>IF(D31="-","-",A31*D31)</f>
        <v>460000</v>
      </c>
    </row>
    <row r="32" spans="1:5">
      <c r="A32" s="90">
        <v>2</v>
      </c>
      <c r="B32" s="91"/>
      <c r="C32" s="88" t="s">
        <v>31</v>
      </c>
      <c r="D32" s="96">
        <v>103000</v>
      </c>
      <c r="E32" s="96">
        <f>IF(D32="-","-",A32*D32)</f>
        <v>206000</v>
      </c>
    </row>
    <row r="33" spans="1:5">
      <c r="A33" s="90"/>
      <c r="B33" s="91"/>
      <c r="C33" s="88"/>
      <c r="D33" s="96"/>
      <c r="E33" s="96">
        <f>IF(D33="-","-",A33*D33)</f>
        <v>0</v>
      </c>
    </row>
    <row r="34" spans="1:5">
      <c r="A34" s="90"/>
      <c r="B34" s="91"/>
      <c r="C34" s="88"/>
      <c r="D34" s="96"/>
      <c r="E34" s="96">
        <f>IF(D34="-","-",A34*D34)</f>
        <v>0</v>
      </c>
    </row>
    <row r="35" spans="1:5">
      <c r="A35" s="90"/>
      <c r="B35" s="91"/>
      <c r="C35" s="88"/>
      <c r="D35" s="96"/>
      <c r="E35" s="96">
        <f>IF(D35="-","-",A35*D35)</f>
        <v>0</v>
      </c>
    </row>
    <row r="36" spans="1:5">
      <c r="A36" s="90"/>
      <c r="B36" s="91"/>
      <c r="C36" s="88"/>
      <c r="D36" s="96" t="str">
        <f t="shared" ref="D36:D41" si="2">IF(B36&lt;1,"-",VLOOKUP(B36,HARGA01,3))</f>
        <v>-</v>
      </c>
      <c r="E36" s="96"/>
    </row>
    <row r="37" spans="1:5">
      <c r="A37" s="90"/>
      <c r="B37" s="91"/>
      <c r="C37" s="88"/>
      <c r="D37" s="96" t="str">
        <f t="shared" si="2"/>
        <v>-</v>
      </c>
      <c r="E37" s="96" t="str">
        <f>IF(D37="-","-",A37*D37)</f>
        <v>-</v>
      </c>
    </row>
    <row r="38" spans="1:5">
      <c r="A38" s="90"/>
      <c r="B38" s="91"/>
      <c r="C38" s="88"/>
      <c r="D38" s="96" t="str">
        <f t="shared" si="2"/>
        <v>-</v>
      </c>
      <c r="E38" s="96" t="str">
        <f>IF(D38="-","-",A38*D38)</f>
        <v>-</v>
      </c>
    </row>
    <row r="39" spans="1:5">
      <c r="A39" s="90"/>
      <c r="B39" s="91"/>
      <c r="C39" s="88" t="str">
        <f>IF(B39&lt;1,"-",VLOOKUP(B39,HARGA01,2))</f>
        <v>-</v>
      </c>
      <c r="D39" s="96" t="str">
        <f t="shared" si="2"/>
        <v>-</v>
      </c>
      <c r="E39" s="96" t="str">
        <f>IF(D39="-","-",A39*D39)</f>
        <v>-</v>
      </c>
    </row>
    <row r="40" spans="1:5">
      <c r="A40" s="90"/>
      <c r="B40" s="91"/>
      <c r="C40" s="88" t="str">
        <f>IF(B40&lt;1,"-",VLOOKUP(B40,HARGA01,2))</f>
        <v>-</v>
      </c>
      <c r="D40" s="96" t="str">
        <f t="shared" si="2"/>
        <v>-</v>
      </c>
      <c r="E40" s="96" t="str">
        <f>IF(D40="-","-",A40*D40)</f>
        <v>-</v>
      </c>
    </row>
    <row r="41" spans="1:5">
      <c r="A41" s="90"/>
      <c r="B41" s="91"/>
      <c r="C41" s="88" t="str">
        <f>IF(B41&lt;1,"-",VLOOKUP(B41,HARGA01,2))</f>
        <v>-</v>
      </c>
      <c r="D41" s="96" t="str">
        <f t="shared" si="2"/>
        <v>-</v>
      </c>
      <c r="E41" s="96" t="str">
        <f>IF(D41="-","-",A41*D41)</f>
        <v>-</v>
      </c>
    </row>
    <row r="42" spans="1:5">
      <c r="A42" s="634" t="s">
        <v>23</v>
      </c>
      <c r="B42" s="635"/>
      <c r="C42" s="634"/>
      <c r="D42" s="636"/>
      <c r="E42" s="96">
        <f>SUM(E31:E41)</f>
        <v>666000</v>
      </c>
    </row>
    <row r="43" spans="1:5">
      <c r="A43" s="28" t="s">
        <v>24</v>
      </c>
      <c r="B43" s="28"/>
      <c r="D43" s="637" t="s">
        <v>25</v>
      </c>
      <c r="E43" s="637"/>
    </row>
    <row r="46" spans="1:5">
      <c r="A46" t="s">
        <v>26</v>
      </c>
      <c r="D46" s="94" t="s">
        <v>27</v>
      </c>
      <c r="E46" s="25"/>
    </row>
    <row r="47" spans="1:5" ht="27">
      <c r="A47" s="2" t="s">
        <v>0</v>
      </c>
      <c r="B47" s="2"/>
    </row>
    <row r="48" spans="1:5">
      <c r="A48" t="s">
        <v>1</v>
      </c>
      <c r="C48" t="s">
        <v>2</v>
      </c>
      <c r="D48" t="s">
        <v>3</v>
      </c>
      <c r="E48" s="85">
        <v>43807</v>
      </c>
    </row>
    <row r="49" spans="1:5">
      <c r="C49" t="s">
        <v>4</v>
      </c>
      <c r="D49" t="s">
        <v>5</v>
      </c>
    </row>
    <row r="50" spans="1:5">
      <c r="C50" t="s">
        <v>7</v>
      </c>
      <c r="D50" s="86"/>
      <c r="E50" s="86"/>
    </row>
    <row r="51" spans="1:5">
      <c r="A51" t="s">
        <v>8</v>
      </c>
      <c r="C51" s="87" t="s">
        <v>9</v>
      </c>
      <c r="D51" t="s">
        <v>10</v>
      </c>
      <c r="E51" s="114" t="s">
        <v>11</v>
      </c>
    </row>
    <row r="52" spans="1:5">
      <c r="A52" t="s">
        <v>12</v>
      </c>
      <c r="C52" t="s">
        <v>13</v>
      </c>
      <c r="D52" t="s">
        <v>14</v>
      </c>
      <c r="E52" t="s">
        <v>11</v>
      </c>
    </row>
    <row r="53" spans="1:5">
      <c r="A53" s="88" t="s">
        <v>15</v>
      </c>
      <c r="B53" s="89"/>
      <c r="C53" s="88" t="s">
        <v>16</v>
      </c>
      <c r="D53" s="95" t="s">
        <v>17</v>
      </c>
      <c r="E53" s="95" t="s">
        <v>18</v>
      </c>
    </row>
    <row r="54" spans="1:5">
      <c r="A54" s="90">
        <f>4.46+15.78</f>
        <v>20.239999999999998</v>
      </c>
      <c r="B54" s="91"/>
      <c r="C54" s="88" t="s">
        <v>32</v>
      </c>
      <c r="D54" s="96">
        <v>22500</v>
      </c>
      <c r="E54" s="96">
        <f t="shared" ref="E54:E64" si="3">IF(D54="-","-",A54*D54)</f>
        <v>455399.99999999994</v>
      </c>
    </row>
    <row r="55" spans="1:5">
      <c r="A55" s="90">
        <v>1</v>
      </c>
      <c r="B55" s="91"/>
      <c r="C55" s="88" t="s">
        <v>33</v>
      </c>
      <c r="D55" s="96">
        <v>80000</v>
      </c>
      <c r="E55" s="96">
        <f t="shared" si="3"/>
        <v>80000</v>
      </c>
    </row>
    <row r="56" spans="1:5">
      <c r="A56" s="90">
        <v>1</v>
      </c>
      <c r="B56" s="91"/>
      <c r="C56" s="88" t="s">
        <v>34</v>
      </c>
      <c r="D56" s="96">
        <v>92000</v>
      </c>
      <c r="E56" s="96">
        <f t="shared" si="3"/>
        <v>92000</v>
      </c>
    </row>
    <row r="57" spans="1:5">
      <c r="A57" s="90">
        <v>1</v>
      </c>
      <c r="B57" s="91"/>
      <c r="C57" s="88" t="s">
        <v>35</v>
      </c>
      <c r="D57" s="96">
        <v>103000</v>
      </c>
      <c r="E57" s="96">
        <f t="shared" si="3"/>
        <v>103000</v>
      </c>
    </row>
    <row r="58" spans="1:5">
      <c r="A58" s="90">
        <v>2</v>
      </c>
      <c r="B58" s="91"/>
      <c r="C58" s="88" t="s">
        <v>36</v>
      </c>
      <c r="D58" s="96">
        <v>75000</v>
      </c>
      <c r="E58" s="96">
        <f t="shared" si="3"/>
        <v>150000</v>
      </c>
    </row>
    <row r="59" spans="1:5">
      <c r="A59" s="90">
        <v>2</v>
      </c>
      <c r="B59" s="91"/>
      <c r="C59" s="88" t="s">
        <v>37</v>
      </c>
      <c r="D59" s="96">
        <v>65000</v>
      </c>
      <c r="E59" s="96">
        <f t="shared" si="3"/>
        <v>130000</v>
      </c>
    </row>
    <row r="60" spans="1:5">
      <c r="A60" s="90"/>
      <c r="B60" s="91"/>
      <c r="C60" s="88"/>
      <c r="D60" s="96" t="str">
        <f>IF(B60&lt;1,"-",VLOOKUP(B60,HARGA01,3))</f>
        <v>-</v>
      </c>
      <c r="E60" s="96" t="str">
        <f t="shared" si="3"/>
        <v>-</v>
      </c>
    </row>
    <row r="61" spans="1:5">
      <c r="A61" s="90"/>
      <c r="B61" s="91"/>
      <c r="C61" s="88"/>
      <c r="D61" s="96" t="str">
        <f>IF(B61&lt;1,"-",VLOOKUP(B61,HARGA01,3))</f>
        <v>-</v>
      </c>
      <c r="E61" s="96" t="str">
        <f t="shared" si="3"/>
        <v>-</v>
      </c>
    </row>
    <row r="62" spans="1:5">
      <c r="A62" s="90"/>
      <c r="B62" s="91"/>
      <c r="C62" s="88" t="str">
        <f>IF(B62&lt;1,"-",VLOOKUP(B62,HARGA01,2))</f>
        <v>-</v>
      </c>
      <c r="D62" s="96" t="str">
        <f>IF(B62&lt;1,"-",VLOOKUP(B62,HARGA01,3))</f>
        <v>-</v>
      </c>
      <c r="E62" s="96" t="str">
        <f t="shared" si="3"/>
        <v>-</v>
      </c>
    </row>
    <row r="63" spans="1:5">
      <c r="A63" s="90"/>
      <c r="B63" s="91"/>
      <c r="C63" s="88" t="str">
        <f>IF(B63&lt;1,"-",VLOOKUP(B63,HARGA01,2))</f>
        <v>-</v>
      </c>
      <c r="D63" s="96" t="str">
        <f>IF(B63&lt;1,"-",VLOOKUP(B63,HARGA01,3))</f>
        <v>-</v>
      </c>
      <c r="E63" s="96" t="str">
        <f t="shared" si="3"/>
        <v>-</v>
      </c>
    </row>
    <row r="64" spans="1:5">
      <c r="A64" s="90"/>
      <c r="B64" s="91"/>
      <c r="C64" s="88" t="str">
        <f>IF(B64&lt;1,"-",VLOOKUP(B64,HARGA01,2))</f>
        <v>-</v>
      </c>
      <c r="D64" s="96" t="str">
        <f>IF(B64&lt;1,"-",VLOOKUP(B64,HARGA01,3))</f>
        <v>-</v>
      </c>
      <c r="E64" s="96" t="str">
        <f t="shared" si="3"/>
        <v>-</v>
      </c>
    </row>
    <row r="65" spans="1:5">
      <c r="A65" s="634" t="s">
        <v>23</v>
      </c>
      <c r="B65" s="635"/>
      <c r="C65" s="634"/>
      <c r="D65" s="636"/>
      <c r="E65" s="96">
        <f>SUM(E54:E64)</f>
        <v>1010400</v>
      </c>
    </row>
    <row r="66" spans="1:5">
      <c r="A66" s="28" t="s">
        <v>24</v>
      </c>
      <c r="B66" s="28"/>
      <c r="D66" s="637" t="s">
        <v>25</v>
      </c>
      <c r="E66" s="637"/>
    </row>
    <row r="69" spans="1:5">
      <c r="A69" t="s">
        <v>26</v>
      </c>
      <c r="D69" s="94" t="s">
        <v>27</v>
      </c>
      <c r="E69" s="25"/>
    </row>
    <row r="70" spans="1:5" ht="27">
      <c r="A70" s="2" t="s">
        <v>0</v>
      </c>
      <c r="B70" s="2"/>
    </row>
    <row r="71" spans="1:5">
      <c r="A71" t="s">
        <v>1</v>
      </c>
      <c r="C71" t="s">
        <v>2</v>
      </c>
      <c r="D71" t="s">
        <v>3</v>
      </c>
      <c r="E71" s="85">
        <v>43809</v>
      </c>
    </row>
    <row r="72" spans="1:5">
      <c r="C72" t="s">
        <v>4</v>
      </c>
      <c r="D72" t="s">
        <v>5</v>
      </c>
      <c r="E72" t="s">
        <v>6</v>
      </c>
    </row>
    <row r="73" spans="1:5">
      <c r="C73" t="s">
        <v>7</v>
      </c>
      <c r="D73" s="86"/>
      <c r="E73" s="86"/>
    </row>
    <row r="74" spans="1:5">
      <c r="A74" t="s">
        <v>8</v>
      </c>
      <c r="C74" s="87" t="s">
        <v>9</v>
      </c>
      <c r="D74" t="s">
        <v>10</v>
      </c>
      <c r="E74" s="114" t="s">
        <v>11</v>
      </c>
    </row>
    <row r="75" spans="1:5">
      <c r="A75" t="s">
        <v>12</v>
      </c>
      <c r="C75" t="s">
        <v>13</v>
      </c>
      <c r="D75" t="s">
        <v>14</v>
      </c>
      <c r="E75" t="s">
        <v>11</v>
      </c>
    </row>
    <row r="76" spans="1:5">
      <c r="A76" s="88" t="s">
        <v>15</v>
      </c>
      <c r="B76" s="89"/>
      <c r="C76" s="88" t="s">
        <v>16</v>
      </c>
      <c r="D76" s="95" t="s">
        <v>17</v>
      </c>
      <c r="E76" s="95" t="s">
        <v>18</v>
      </c>
    </row>
    <row r="77" spans="1:5">
      <c r="A77" s="90">
        <v>173.74</v>
      </c>
      <c r="B77" s="91"/>
      <c r="C77" s="88" t="s">
        <v>38</v>
      </c>
      <c r="D77" s="96">
        <v>22500</v>
      </c>
      <c r="E77" s="96">
        <f>IF(D77="-","-",A77*D77)</f>
        <v>3909150</v>
      </c>
    </row>
    <row r="78" spans="1:5">
      <c r="A78" s="90"/>
      <c r="B78" s="91"/>
      <c r="C78" s="88"/>
      <c r="D78" s="96"/>
      <c r="E78" s="96"/>
    </row>
    <row r="79" spans="1:5">
      <c r="A79" s="90"/>
      <c r="B79" s="91"/>
      <c r="C79" s="88"/>
      <c r="D79" s="96"/>
      <c r="E79" s="96"/>
    </row>
    <row r="80" spans="1:5">
      <c r="A80" s="90"/>
      <c r="B80" s="91"/>
      <c r="C80" s="88"/>
      <c r="D80" s="96"/>
      <c r="E80" s="96"/>
    </row>
    <row r="81" spans="1:5">
      <c r="A81" s="90"/>
      <c r="B81" s="91"/>
      <c r="C81" s="88"/>
      <c r="D81" s="96"/>
      <c r="E81" s="96"/>
    </row>
    <row r="82" spans="1:5">
      <c r="A82" s="90"/>
      <c r="B82" s="91"/>
      <c r="C82" s="88"/>
      <c r="D82" s="96"/>
      <c r="E82" s="96"/>
    </row>
    <row r="83" spans="1:5">
      <c r="A83" s="90"/>
      <c r="B83" s="91"/>
      <c r="C83" s="88"/>
      <c r="D83" s="96" t="str">
        <f>IF(B83&lt;1,"-",VLOOKUP(B83,HARGA01,3))</f>
        <v>-</v>
      </c>
      <c r="E83" s="96" t="str">
        <f>IF(D83="-","-",A83*D83)</f>
        <v>-</v>
      </c>
    </row>
    <row r="84" spans="1:5">
      <c r="A84" s="90"/>
      <c r="B84" s="91"/>
      <c r="C84" s="88"/>
      <c r="D84" s="96" t="str">
        <f>IF(B84&lt;1,"-",VLOOKUP(B84,HARGA01,3))</f>
        <v>-</v>
      </c>
      <c r="E84" s="96" t="str">
        <f>IF(D84="-","-",A84*D84)</f>
        <v>-</v>
      </c>
    </row>
    <row r="85" spans="1:5">
      <c r="A85" s="90"/>
      <c r="B85" s="91"/>
      <c r="C85" s="88" t="str">
        <f>IF(B85&lt;1,"-",VLOOKUP(B85,HARGA01,2))</f>
        <v>-</v>
      </c>
      <c r="D85" s="96" t="str">
        <f>IF(B85&lt;1,"-",VLOOKUP(B85,HARGA01,3))</f>
        <v>-</v>
      </c>
      <c r="E85" s="96" t="str">
        <f>IF(D85="-","-",A85*D85)</f>
        <v>-</v>
      </c>
    </row>
    <row r="86" spans="1:5">
      <c r="A86" s="90"/>
      <c r="B86" s="91"/>
      <c r="C86" s="88" t="str">
        <f>IF(B86&lt;1,"-",VLOOKUP(B86,HARGA01,2))</f>
        <v>-</v>
      </c>
      <c r="D86" s="96" t="str">
        <f>IF(B86&lt;1,"-",VLOOKUP(B86,HARGA01,3))</f>
        <v>-</v>
      </c>
      <c r="E86" s="96" t="str">
        <f>IF(D86="-","-",A86*D86)</f>
        <v>-</v>
      </c>
    </row>
    <row r="87" spans="1:5">
      <c r="A87" s="90"/>
      <c r="B87" s="91"/>
      <c r="C87" s="88" t="str">
        <f>IF(B87&lt;1,"-",VLOOKUP(B87,HARGA01,2))</f>
        <v>-</v>
      </c>
      <c r="D87" s="96" t="str">
        <f>IF(B87&lt;1,"-",VLOOKUP(B87,HARGA01,3))</f>
        <v>-</v>
      </c>
      <c r="E87" s="96" t="str">
        <f>IF(D87="-","-",A87*D87)</f>
        <v>-</v>
      </c>
    </row>
    <row r="88" spans="1:5">
      <c r="A88" s="634" t="s">
        <v>23</v>
      </c>
      <c r="B88" s="635"/>
      <c r="C88" s="634"/>
      <c r="D88" s="636"/>
      <c r="E88" s="96">
        <f>SUM(E77:E87)</f>
        <v>3909150</v>
      </c>
    </row>
    <row r="89" spans="1:5">
      <c r="A89" s="28" t="s">
        <v>24</v>
      </c>
      <c r="B89" s="28"/>
      <c r="D89" s="637" t="s">
        <v>25</v>
      </c>
      <c r="E89" s="637"/>
    </row>
    <row r="92" spans="1:5">
      <c r="A92" t="s">
        <v>26</v>
      </c>
      <c r="D92" s="94" t="s">
        <v>27</v>
      </c>
      <c r="E92" s="25"/>
    </row>
    <row r="93" spans="1:5" ht="27">
      <c r="A93" s="2" t="s">
        <v>0</v>
      </c>
      <c r="B93" s="2"/>
    </row>
    <row r="94" spans="1:5">
      <c r="A94" t="s">
        <v>1</v>
      </c>
      <c r="C94" t="s">
        <v>2</v>
      </c>
      <c r="D94" t="s">
        <v>3</v>
      </c>
      <c r="E94" s="85">
        <v>43816</v>
      </c>
    </row>
    <row r="95" spans="1:5">
      <c r="C95" t="s">
        <v>4</v>
      </c>
      <c r="D95" t="s">
        <v>5</v>
      </c>
      <c r="E95" t="s">
        <v>39</v>
      </c>
    </row>
    <row r="96" spans="1:5">
      <c r="C96" t="s">
        <v>7</v>
      </c>
      <c r="D96" s="86"/>
      <c r="E96" s="86" t="s">
        <v>29</v>
      </c>
    </row>
    <row r="97" spans="1:5">
      <c r="A97" t="s">
        <v>8</v>
      </c>
      <c r="C97" s="87" t="s">
        <v>9</v>
      </c>
      <c r="D97" t="s">
        <v>10</v>
      </c>
      <c r="E97" s="114" t="s">
        <v>11</v>
      </c>
    </row>
    <row r="98" spans="1:5">
      <c r="A98" t="s">
        <v>12</v>
      </c>
      <c r="C98" t="s">
        <v>13</v>
      </c>
      <c r="D98" t="s">
        <v>14</v>
      </c>
      <c r="E98" t="s">
        <v>11</v>
      </c>
    </row>
    <row r="99" spans="1:5">
      <c r="A99" s="88" t="s">
        <v>15</v>
      </c>
      <c r="B99" s="89"/>
      <c r="C99" s="88" t="s">
        <v>16</v>
      </c>
      <c r="D99" s="95" t="s">
        <v>17</v>
      </c>
      <c r="E99" s="95" t="s">
        <v>18</v>
      </c>
    </row>
    <row r="100" spans="1:5">
      <c r="A100" s="90">
        <v>2</v>
      </c>
      <c r="B100" s="91"/>
      <c r="C100" s="88" t="s">
        <v>30</v>
      </c>
      <c r="D100" s="96">
        <v>92000</v>
      </c>
      <c r="E100" s="96">
        <v>184000</v>
      </c>
    </row>
    <row r="101" spans="1:5">
      <c r="A101" s="90">
        <v>2</v>
      </c>
      <c r="B101" s="91"/>
      <c r="C101" s="88" t="s">
        <v>40</v>
      </c>
      <c r="D101" s="96">
        <v>103000</v>
      </c>
      <c r="E101" s="96">
        <f>IF(D101="-","-",A101*D101)</f>
        <v>206000</v>
      </c>
    </row>
    <row r="102" spans="1:5">
      <c r="A102" s="90"/>
      <c r="B102" s="91"/>
      <c r="C102" s="88"/>
      <c r="D102" s="96"/>
      <c r="E102" s="96">
        <f>IF(D102="-","-",A102*D102)</f>
        <v>0</v>
      </c>
    </row>
    <row r="103" spans="1:5">
      <c r="A103" s="90"/>
      <c r="B103" s="91"/>
      <c r="C103" s="88"/>
      <c r="D103" s="96"/>
      <c r="E103" s="96">
        <f>IF(D103="-","-",A103*D103)</f>
        <v>0</v>
      </c>
    </row>
    <row r="104" spans="1:5">
      <c r="A104" s="90"/>
      <c r="B104" s="91"/>
      <c r="C104" s="88"/>
      <c r="D104" s="96"/>
      <c r="E104" s="96">
        <f>IF(D104="-","-",A104*D104)</f>
        <v>0</v>
      </c>
    </row>
    <row r="105" spans="1:5">
      <c r="A105" s="90"/>
      <c r="B105" s="91"/>
      <c r="C105" s="88"/>
      <c r="D105" s="96"/>
      <c r="E105" s="96">
        <f>IF(D105="-","-",A105*D105)</f>
        <v>0</v>
      </c>
    </row>
    <row r="106" spans="1:5">
      <c r="A106" s="90"/>
      <c r="B106" s="91"/>
      <c r="C106" s="88"/>
      <c r="D106" s="96" t="str">
        <f>IF(B106&lt;1,"-",VLOOKUP(B106,HARGA01,3))</f>
        <v>-</v>
      </c>
      <c r="E106" s="96"/>
    </row>
    <row r="107" spans="1:5">
      <c r="A107" s="90"/>
      <c r="B107" s="91"/>
      <c r="C107" s="88"/>
      <c r="D107" s="96" t="str">
        <f>IF(B107&lt;1,"-",VLOOKUP(B107,HARGA01,3))</f>
        <v>-</v>
      </c>
      <c r="E107" s="96" t="str">
        <f>IF(D107="-","-",A107*D107)</f>
        <v>-</v>
      </c>
    </row>
    <row r="108" spans="1:5">
      <c r="A108" s="92"/>
      <c r="B108" s="93"/>
      <c r="C108" s="97"/>
      <c r="D108" s="96" t="str">
        <f>IF(B108&lt;1,"-",VLOOKUP(B108,HARGA01,3))</f>
        <v>-</v>
      </c>
      <c r="E108" s="96" t="str">
        <f>IF(D108="-","-",A108*D108)</f>
        <v>-</v>
      </c>
    </row>
    <row r="109" spans="1:5">
      <c r="A109" s="90"/>
      <c r="B109" s="91"/>
      <c r="C109" s="88" t="str">
        <f>IF(B109&lt;1,"-",VLOOKUP(B109,HARGA01,2))</f>
        <v>-</v>
      </c>
      <c r="D109" s="96" t="str">
        <f>IF(B109&lt;1,"-",VLOOKUP(B109,HARGA01,3))</f>
        <v>-</v>
      </c>
      <c r="E109" s="96" t="str">
        <f>IF(D109="-","-",A109*D109)</f>
        <v>-</v>
      </c>
    </row>
    <row r="110" spans="1:5">
      <c r="A110" s="90"/>
      <c r="B110" s="91"/>
      <c r="C110" s="88" t="str">
        <f>IF(B110&lt;1,"-",VLOOKUP(B110,HARGA01,2))</f>
        <v>-</v>
      </c>
      <c r="D110" s="96" t="str">
        <f>IF(B110&lt;1,"-",VLOOKUP(B110,HARGA01,3))</f>
        <v>-</v>
      </c>
      <c r="E110" s="96" t="str">
        <f>IF(D110="-","-",A110*D110)</f>
        <v>-</v>
      </c>
    </row>
    <row r="111" spans="1:5">
      <c r="A111" s="634" t="s">
        <v>23</v>
      </c>
      <c r="B111" s="635"/>
      <c r="C111" s="634"/>
      <c r="D111" s="636"/>
      <c r="E111" s="96">
        <f>SUM(E100:E110)</f>
        <v>390000</v>
      </c>
    </row>
    <row r="112" spans="1:5">
      <c r="A112" s="28" t="s">
        <v>24</v>
      </c>
      <c r="B112" s="28"/>
      <c r="D112" s="637" t="s">
        <v>25</v>
      </c>
      <c r="E112" s="637"/>
    </row>
    <row r="115" spans="1:5">
      <c r="A115" t="s">
        <v>41</v>
      </c>
      <c r="D115" s="94" t="s">
        <v>27</v>
      </c>
      <c r="E115" s="25"/>
    </row>
    <row r="116" spans="1:5" ht="27">
      <c r="A116" s="2" t="s">
        <v>0</v>
      </c>
      <c r="B116" s="2"/>
    </row>
    <row r="117" spans="1:5">
      <c r="A117" t="s">
        <v>1</v>
      </c>
      <c r="C117" t="s">
        <v>2</v>
      </c>
      <c r="D117" t="s">
        <v>3</v>
      </c>
      <c r="E117" s="85">
        <v>43816</v>
      </c>
    </row>
    <row r="118" spans="1:5">
      <c r="C118" t="s">
        <v>4</v>
      </c>
      <c r="D118" t="s">
        <v>5</v>
      </c>
      <c r="E118" t="s">
        <v>42</v>
      </c>
    </row>
    <row r="119" spans="1:5">
      <c r="C119" t="s">
        <v>7</v>
      </c>
      <c r="D119" s="86"/>
      <c r="E119" s="86"/>
    </row>
    <row r="120" spans="1:5">
      <c r="A120" t="s">
        <v>8</v>
      </c>
      <c r="C120" s="87" t="s">
        <v>9</v>
      </c>
      <c r="D120" t="s">
        <v>10</v>
      </c>
      <c r="E120" s="114" t="s">
        <v>11</v>
      </c>
    </row>
    <row r="121" spans="1:5">
      <c r="A121" t="s">
        <v>12</v>
      </c>
      <c r="C121" t="s">
        <v>13</v>
      </c>
      <c r="D121" t="s">
        <v>14</v>
      </c>
      <c r="E121" t="s">
        <v>11</v>
      </c>
    </row>
    <row r="122" spans="1:5">
      <c r="A122" s="88" t="s">
        <v>15</v>
      </c>
      <c r="B122" s="89"/>
      <c r="C122" s="88" t="s">
        <v>16</v>
      </c>
      <c r="D122" s="95" t="s">
        <v>17</v>
      </c>
      <c r="E122" s="95" t="s">
        <v>18</v>
      </c>
    </row>
    <row r="123" spans="1:5">
      <c r="A123" s="90">
        <v>10</v>
      </c>
      <c r="B123" s="91"/>
      <c r="C123" s="88" t="s">
        <v>43</v>
      </c>
      <c r="D123" s="96">
        <v>257000</v>
      </c>
      <c r="E123" s="96">
        <f>IF(D123="-","-",A123*D123)</f>
        <v>2570000</v>
      </c>
    </row>
    <row r="124" spans="1:5">
      <c r="A124" s="90">
        <v>10</v>
      </c>
      <c r="B124" s="91"/>
      <c r="C124" s="88" t="s">
        <v>44</v>
      </c>
      <c r="D124" s="96">
        <v>222000</v>
      </c>
      <c r="E124" s="96">
        <f>IF(D124="-","-",A124*D124)</f>
        <v>2220000</v>
      </c>
    </row>
    <row r="125" spans="1:5">
      <c r="A125" s="90">
        <v>3</v>
      </c>
      <c r="B125" s="91"/>
      <c r="C125" s="88" t="s">
        <v>45</v>
      </c>
      <c r="D125" s="96">
        <v>200000</v>
      </c>
      <c r="E125" s="96">
        <f>IF(D125="-","-",A125*D125)</f>
        <v>600000</v>
      </c>
    </row>
    <row r="126" spans="1:5">
      <c r="A126" s="90">
        <v>10</v>
      </c>
      <c r="B126" s="91"/>
      <c r="C126" s="88" t="s">
        <v>46</v>
      </c>
      <c r="D126" s="96">
        <v>35000</v>
      </c>
      <c r="E126" s="96">
        <f>IF(D126="-","-",A126*D126)</f>
        <v>350000</v>
      </c>
    </row>
    <row r="127" spans="1:5">
      <c r="A127" s="90">
        <v>2</v>
      </c>
      <c r="B127" s="91"/>
      <c r="C127" s="88" t="s">
        <v>47</v>
      </c>
      <c r="D127" s="96">
        <v>96000</v>
      </c>
      <c r="E127" s="96">
        <f>IF(D127="-","-",A127*D127)</f>
        <v>192000</v>
      </c>
    </row>
    <row r="128" spans="1:5">
      <c r="A128" s="90"/>
      <c r="B128" s="91"/>
      <c r="C128" s="88"/>
      <c r="D128" s="96"/>
      <c r="E128" s="96"/>
    </row>
    <row r="129" spans="1:5">
      <c r="A129" s="90"/>
      <c r="B129" s="91"/>
      <c r="C129" s="88"/>
      <c r="D129" s="96" t="str">
        <f>IF(B129&lt;1,"-",VLOOKUP(B129,HARGA01,3))</f>
        <v>-</v>
      </c>
      <c r="E129" s="96"/>
    </row>
    <row r="130" spans="1:5">
      <c r="A130" s="90"/>
      <c r="B130" s="91"/>
      <c r="C130" s="88"/>
      <c r="D130" s="96" t="str">
        <f>IF(B130&lt;1,"-",VLOOKUP(B130,HARGA01,3))</f>
        <v>-</v>
      </c>
      <c r="E130" s="96" t="str">
        <f>IF(D130="-","-",A130*D130)</f>
        <v>-</v>
      </c>
    </row>
    <row r="131" spans="1:5">
      <c r="A131" s="92"/>
      <c r="B131" s="93"/>
      <c r="C131" s="97"/>
      <c r="D131" s="96" t="str">
        <f>IF(B131&lt;1,"-",VLOOKUP(B131,HARGA01,3))</f>
        <v>-</v>
      </c>
      <c r="E131" s="96" t="str">
        <f>IF(D131="-","-",A131*D131)</f>
        <v>-</v>
      </c>
    </row>
    <row r="132" spans="1:5">
      <c r="A132" s="90"/>
      <c r="B132" s="91"/>
      <c r="C132" s="88" t="str">
        <f>IF(B132&lt;1,"-",VLOOKUP(B132,HARGA01,2))</f>
        <v>-</v>
      </c>
      <c r="D132" s="96" t="str">
        <f>IF(B132&lt;1,"-",VLOOKUP(B132,HARGA01,3))</f>
        <v>-</v>
      </c>
      <c r="E132" s="96" t="str">
        <f>IF(D132="-","-",A132*D132)</f>
        <v>-</v>
      </c>
    </row>
    <row r="133" spans="1:5">
      <c r="A133" s="90"/>
      <c r="B133" s="91"/>
      <c r="C133" s="88" t="str">
        <f>IF(B133&lt;1,"-",VLOOKUP(B133,HARGA01,2))</f>
        <v>-</v>
      </c>
      <c r="D133" s="96" t="str">
        <f>IF(B133&lt;1,"-",VLOOKUP(B133,HARGA01,3))</f>
        <v>-</v>
      </c>
      <c r="E133" s="96" t="str">
        <f>IF(D133="-","-",A133*D133)</f>
        <v>-</v>
      </c>
    </row>
    <row r="134" spans="1:5">
      <c r="A134" s="634" t="s">
        <v>23</v>
      </c>
      <c r="B134" s="635"/>
      <c r="C134" s="634"/>
      <c r="D134" s="636"/>
      <c r="E134" s="96">
        <f>SUM(E123:E133)</f>
        <v>5932000</v>
      </c>
    </row>
    <row r="135" spans="1:5">
      <c r="A135" s="28" t="s">
        <v>24</v>
      </c>
      <c r="B135" s="28"/>
      <c r="D135" s="637" t="s">
        <v>25</v>
      </c>
      <c r="E135" s="637"/>
    </row>
    <row r="138" spans="1:5">
      <c r="A138" t="s">
        <v>41</v>
      </c>
      <c r="D138" s="94" t="s">
        <v>27</v>
      </c>
      <c r="E138" s="25"/>
    </row>
    <row r="139" spans="1:5" ht="27">
      <c r="A139" s="2" t="s">
        <v>0</v>
      </c>
      <c r="B139" s="2"/>
    </row>
    <row r="140" spans="1:5">
      <c r="A140" t="s">
        <v>1</v>
      </c>
      <c r="C140" t="s">
        <v>2</v>
      </c>
      <c r="D140" t="s">
        <v>3</v>
      </c>
      <c r="E140" s="85">
        <v>43850</v>
      </c>
    </row>
    <row r="141" spans="1:5">
      <c r="C141" t="s">
        <v>4</v>
      </c>
      <c r="D141" t="s">
        <v>5</v>
      </c>
      <c r="E141" t="s">
        <v>48</v>
      </c>
    </row>
    <row r="142" spans="1:5">
      <c r="C142" t="s">
        <v>7</v>
      </c>
      <c r="D142" s="86"/>
      <c r="E142" s="86" t="s">
        <v>49</v>
      </c>
    </row>
    <row r="143" spans="1:5">
      <c r="A143" t="s">
        <v>8</v>
      </c>
      <c r="C143" s="87" t="s">
        <v>9</v>
      </c>
      <c r="D143" t="s">
        <v>10</v>
      </c>
      <c r="E143" s="114" t="s">
        <v>11</v>
      </c>
    </row>
    <row r="144" spans="1:5">
      <c r="A144" t="s">
        <v>12</v>
      </c>
      <c r="C144" t="s">
        <v>13</v>
      </c>
      <c r="D144" t="s">
        <v>14</v>
      </c>
      <c r="E144" t="s">
        <v>11</v>
      </c>
    </row>
    <row r="145" spans="1:5">
      <c r="A145" s="88" t="s">
        <v>15</v>
      </c>
      <c r="B145" s="89"/>
      <c r="C145" s="98" t="s">
        <v>16</v>
      </c>
      <c r="D145" s="95" t="s">
        <v>17</v>
      </c>
      <c r="E145" s="95" t="s">
        <v>18</v>
      </c>
    </row>
    <row r="146" spans="1:5">
      <c r="A146" s="90">
        <v>10</v>
      </c>
      <c r="B146" s="91"/>
      <c r="C146" s="99" t="s">
        <v>50</v>
      </c>
      <c r="D146" s="96">
        <f>120*20*200*1300/1000</f>
        <v>624000</v>
      </c>
      <c r="E146" s="96">
        <f t="shared" ref="E146:E156" si="4">IF(D146="-","-",A146*D146)</f>
        <v>6240000</v>
      </c>
    </row>
    <row r="147" spans="1:5">
      <c r="A147" s="90">
        <v>15</v>
      </c>
      <c r="B147" s="91"/>
      <c r="C147" s="99" t="s">
        <v>51</v>
      </c>
      <c r="D147" s="96">
        <f>140*20*200*1300/1000</f>
        <v>728000</v>
      </c>
      <c r="E147" s="96">
        <f t="shared" si="4"/>
        <v>10920000</v>
      </c>
    </row>
    <row r="148" spans="1:5">
      <c r="A148" s="90">
        <v>10</v>
      </c>
      <c r="B148" s="91"/>
      <c r="C148" s="99" t="s">
        <v>52</v>
      </c>
      <c r="D148" s="96">
        <f>150*20*200*1300/1000</f>
        <v>780000</v>
      </c>
      <c r="E148" s="96">
        <f t="shared" si="4"/>
        <v>7800000</v>
      </c>
    </row>
    <row r="149" spans="1:5">
      <c r="A149" s="90">
        <v>15</v>
      </c>
      <c r="B149" s="91"/>
      <c r="C149" s="99" t="s">
        <v>53</v>
      </c>
      <c r="D149" s="96">
        <f>160*20*200*1300/1000</f>
        <v>832000</v>
      </c>
      <c r="E149" s="96">
        <f t="shared" si="4"/>
        <v>12480000</v>
      </c>
    </row>
    <row r="150" spans="1:5">
      <c r="A150" s="100">
        <v>10</v>
      </c>
      <c r="B150" s="101"/>
      <c r="C150" s="102" t="s">
        <v>54</v>
      </c>
      <c r="D150" s="96">
        <f>180*20*200*1300/1000</f>
        <v>936000</v>
      </c>
      <c r="E150" s="96">
        <f t="shared" si="4"/>
        <v>9360000</v>
      </c>
    </row>
    <row r="151" spans="1:5">
      <c r="A151" s="103">
        <v>5</v>
      </c>
      <c r="B151" s="104"/>
      <c r="C151" s="99" t="s">
        <v>55</v>
      </c>
      <c r="D151" s="96">
        <f>120*15*200*1300/1000</f>
        <v>468000</v>
      </c>
      <c r="E151" s="96">
        <f t="shared" si="4"/>
        <v>2340000</v>
      </c>
    </row>
    <row r="152" spans="1:5">
      <c r="A152" s="103">
        <v>5</v>
      </c>
      <c r="B152" s="104"/>
      <c r="C152" s="99" t="s">
        <v>56</v>
      </c>
      <c r="D152" s="96">
        <f>140*15*200*1300/1000</f>
        <v>546000</v>
      </c>
      <c r="E152" s="96">
        <f t="shared" si="4"/>
        <v>2730000</v>
      </c>
    </row>
    <row r="153" spans="1:5">
      <c r="A153" s="103">
        <v>5</v>
      </c>
      <c r="B153" s="104"/>
      <c r="C153" s="99" t="s">
        <v>57</v>
      </c>
      <c r="D153" s="96">
        <f>100*15*200*1300/1000</f>
        <v>390000</v>
      </c>
      <c r="E153" s="96">
        <f t="shared" si="4"/>
        <v>1950000</v>
      </c>
    </row>
    <row r="154" spans="1:5">
      <c r="A154" s="105"/>
      <c r="B154" s="106"/>
      <c r="C154" s="107" t="s">
        <v>58</v>
      </c>
      <c r="D154" s="96" t="str">
        <f>IF(B154&lt;1,"-",VLOOKUP(B154,HARGA01,3))</f>
        <v>-</v>
      </c>
      <c r="E154" s="96">
        <v>-40000000</v>
      </c>
    </row>
    <row r="155" spans="1:5">
      <c r="A155" s="90"/>
      <c r="B155" s="91"/>
      <c r="C155" s="107" t="s">
        <v>58</v>
      </c>
      <c r="D155" s="96" t="str">
        <f>IF(B155&lt;1,"-",VLOOKUP(B155,HARGA01,3))</f>
        <v>-</v>
      </c>
      <c r="E155" s="96">
        <v>-12000000</v>
      </c>
    </row>
    <row r="156" spans="1:5">
      <c r="A156" s="90"/>
      <c r="B156" s="91"/>
      <c r="C156" s="88" t="str">
        <f>IF(B156&lt;1,"-",VLOOKUP(B156,HARGA01,2))</f>
        <v>-</v>
      </c>
      <c r="D156" s="96" t="str">
        <f>IF(B156&lt;1,"-",VLOOKUP(B156,HARGA01,3))</f>
        <v>-</v>
      </c>
      <c r="E156" s="96" t="str">
        <f t="shared" si="4"/>
        <v>-</v>
      </c>
    </row>
    <row r="157" spans="1:5">
      <c r="A157" s="634" t="s">
        <v>23</v>
      </c>
      <c r="B157" s="635"/>
      <c r="C157" s="634"/>
      <c r="D157" s="636"/>
      <c r="E157" s="96">
        <f>SUM(E146:E156)</f>
        <v>1820000</v>
      </c>
    </row>
    <row r="158" spans="1:5">
      <c r="A158" s="28" t="s">
        <v>24</v>
      </c>
      <c r="B158" s="28"/>
      <c r="D158" s="637" t="s">
        <v>25</v>
      </c>
      <c r="E158" s="637"/>
    </row>
    <row r="161" spans="1:5">
      <c r="D161" s="94" t="s">
        <v>27</v>
      </c>
      <c r="E161" s="25"/>
    </row>
    <row r="163" spans="1:5" ht="27">
      <c r="A163" s="2" t="s">
        <v>0</v>
      </c>
      <c r="B163" s="2"/>
    </row>
    <row r="164" spans="1:5">
      <c r="A164" t="s">
        <v>1</v>
      </c>
      <c r="C164" t="s">
        <v>2</v>
      </c>
      <c r="D164" t="s">
        <v>3</v>
      </c>
      <c r="E164" s="85">
        <v>43850</v>
      </c>
    </row>
    <row r="165" spans="1:5">
      <c r="C165" t="s">
        <v>4</v>
      </c>
      <c r="D165" t="s">
        <v>5</v>
      </c>
      <c r="E165" t="s">
        <v>48</v>
      </c>
    </row>
    <row r="166" spans="1:5">
      <c r="C166" t="s">
        <v>7</v>
      </c>
      <c r="D166" s="86"/>
      <c r="E166" s="86" t="s">
        <v>49</v>
      </c>
    </row>
    <row r="167" spans="1:5">
      <c r="A167" t="s">
        <v>8</v>
      </c>
      <c r="C167" s="87" t="s">
        <v>9</v>
      </c>
      <c r="D167" t="s">
        <v>10</v>
      </c>
      <c r="E167" s="114" t="s">
        <v>11</v>
      </c>
    </row>
    <row r="168" spans="1:5">
      <c r="A168" t="s">
        <v>12</v>
      </c>
      <c r="C168" t="s">
        <v>13</v>
      </c>
      <c r="D168" t="s">
        <v>14</v>
      </c>
      <c r="E168" t="s">
        <v>11</v>
      </c>
    </row>
    <row r="169" spans="1:5">
      <c r="A169" s="88" t="s">
        <v>15</v>
      </c>
      <c r="B169" s="89"/>
      <c r="C169" s="98" t="s">
        <v>16</v>
      </c>
      <c r="D169" s="95" t="s">
        <v>17</v>
      </c>
      <c r="E169" s="95" t="s">
        <v>18</v>
      </c>
    </row>
    <row r="170" spans="1:5">
      <c r="A170" s="90">
        <v>5</v>
      </c>
      <c r="B170" s="91">
        <v>13</v>
      </c>
      <c r="C170" s="88" t="e">
        <f t="shared" ref="C170:C180" si="5">IF(B170&lt;1,"-",VLOOKUP(B170,HARGA01,2))</f>
        <v>#REF!</v>
      </c>
      <c r="D170" s="96" t="e">
        <f t="shared" ref="D170:D180" si="6">IF(B170&lt;1,"-",VLOOKUP(B170,HARGA01,3))</f>
        <v>#REF!</v>
      </c>
      <c r="E170" s="96" t="e">
        <f t="shared" ref="E170:E180" si="7">IF(D170="-","-",A170*D170)</f>
        <v>#REF!</v>
      </c>
    </row>
    <row r="171" spans="1:5">
      <c r="A171" s="90">
        <v>15</v>
      </c>
      <c r="B171" s="91">
        <v>14</v>
      </c>
      <c r="C171" s="88" t="e">
        <f t="shared" si="5"/>
        <v>#REF!</v>
      </c>
      <c r="D171" s="96" t="e">
        <f t="shared" si="6"/>
        <v>#REF!</v>
      </c>
      <c r="E171" s="96" t="e">
        <f t="shared" si="7"/>
        <v>#REF!</v>
      </c>
    </row>
    <row r="172" spans="1:5">
      <c r="A172" s="90">
        <v>10</v>
      </c>
      <c r="B172" s="91">
        <v>27</v>
      </c>
      <c r="C172" s="88" t="e">
        <f t="shared" si="5"/>
        <v>#REF!</v>
      </c>
      <c r="D172" s="96" t="e">
        <f t="shared" si="6"/>
        <v>#REF!</v>
      </c>
      <c r="E172" s="96" t="e">
        <f t="shared" si="7"/>
        <v>#REF!</v>
      </c>
    </row>
    <row r="173" spans="1:5">
      <c r="A173" s="90">
        <v>10</v>
      </c>
      <c r="B173" s="91">
        <v>28</v>
      </c>
      <c r="C173" s="88" t="e">
        <f t="shared" si="5"/>
        <v>#REF!</v>
      </c>
      <c r="D173" s="96" t="e">
        <f t="shared" si="6"/>
        <v>#REF!</v>
      </c>
      <c r="E173" s="96" t="e">
        <f t="shared" si="7"/>
        <v>#REF!</v>
      </c>
    </row>
    <row r="174" spans="1:5">
      <c r="A174" s="100"/>
      <c r="B174" s="101"/>
      <c r="C174" s="88" t="str">
        <f t="shared" si="5"/>
        <v>-</v>
      </c>
      <c r="D174" s="96" t="str">
        <f t="shared" si="6"/>
        <v>-</v>
      </c>
      <c r="E174" s="96" t="str">
        <f t="shared" si="7"/>
        <v>-</v>
      </c>
    </row>
    <row r="175" spans="1:5">
      <c r="A175" s="103"/>
      <c r="B175" s="104"/>
      <c r="C175" s="88" t="str">
        <f t="shared" si="5"/>
        <v>-</v>
      </c>
      <c r="D175" s="96" t="str">
        <f t="shared" si="6"/>
        <v>-</v>
      </c>
      <c r="E175" s="96" t="str">
        <f t="shared" si="7"/>
        <v>-</v>
      </c>
    </row>
    <row r="176" spans="1:5">
      <c r="A176" s="103"/>
      <c r="B176" s="104"/>
      <c r="C176" s="88" t="str">
        <f t="shared" si="5"/>
        <v>-</v>
      </c>
      <c r="D176" s="96" t="str">
        <f t="shared" si="6"/>
        <v>-</v>
      </c>
      <c r="E176" s="96" t="str">
        <f t="shared" si="7"/>
        <v>-</v>
      </c>
    </row>
    <row r="177" spans="1:10">
      <c r="A177" s="103"/>
      <c r="B177" s="104"/>
      <c r="C177" s="88" t="str">
        <f t="shared" si="5"/>
        <v>-</v>
      </c>
      <c r="D177" s="96" t="str">
        <f t="shared" si="6"/>
        <v>-</v>
      </c>
      <c r="E177" s="96" t="str">
        <f t="shared" si="7"/>
        <v>-</v>
      </c>
    </row>
    <row r="178" spans="1:10">
      <c r="A178" s="105"/>
      <c r="B178" s="106"/>
      <c r="C178" s="88" t="str">
        <f t="shared" si="5"/>
        <v>-</v>
      </c>
      <c r="D178" s="96" t="str">
        <f t="shared" si="6"/>
        <v>-</v>
      </c>
      <c r="E178" s="96" t="str">
        <f t="shared" si="7"/>
        <v>-</v>
      </c>
    </row>
    <row r="179" spans="1:10">
      <c r="A179" s="90"/>
      <c r="B179" s="91"/>
      <c r="C179" s="88" t="str">
        <f t="shared" si="5"/>
        <v>-</v>
      </c>
      <c r="D179" s="96" t="str">
        <f t="shared" si="6"/>
        <v>-</v>
      </c>
      <c r="E179" s="96" t="str">
        <f t="shared" si="7"/>
        <v>-</v>
      </c>
    </row>
    <row r="180" spans="1:10">
      <c r="A180" s="90"/>
      <c r="B180" s="91"/>
      <c r="C180" s="88" t="str">
        <f t="shared" si="5"/>
        <v>-</v>
      </c>
      <c r="D180" s="96" t="str">
        <f t="shared" si="6"/>
        <v>-</v>
      </c>
      <c r="E180" s="96" t="str">
        <f t="shared" si="7"/>
        <v>-</v>
      </c>
    </row>
    <row r="181" spans="1:10">
      <c r="A181" s="634" t="s">
        <v>23</v>
      </c>
      <c r="B181" s="635"/>
      <c r="C181" s="634"/>
      <c r="D181" s="636"/>
      <c r="E181" s="96" t="e">
        <f>SUM(E170:E180)</f>
        <v>#REF!</v>
      </c>
    </row>
    <row r="182" spans="1:10">
      <c r="A182" s="28" t="s">
        <v>24</v>
      </c>
      <c r="B182" s="28"/>
      <c r="D182" s="637" t="s">
        <v>25</v>
      </c>
      <c r="E182" s="637"/>
    </row>
    <row r="185" spans="1:10">
      <c r="D185" s="94" t="s">
        <v>27</v>
      </c>
      <c r="E185" s="25"/>
    </row>
    <row r="187" spans="1:10" ht="27">
      <c r="A187" s="2" t="s">
        <v>0</v>
      </c>
      <c r="B187" s="2"/>
    </row>
    <row r="188" spans="1:10">
      <c r="A188" t="s">
        <v>1</v>
      </c>
      <c r="C188" t="s">
        <v>2</v>
      </c>
      <c r="D188" t="s">
        <v>3</v>
      </c>
      <c r="E188" s="85">
        <v>43898</v>
      </c>
    </row>
    <row r="189" spans="1:10">
      <c r="C189" t="s">
        <v>4</v>
      </c>
      <c r="D189" t="s">
        <v>5</v>
      </c>
      <c r="E189" t="s">
        <v>48</v>
      </c>
    </row>
    <row r="190" spans="1:10">
      <c r="C190" t="s">
        <v>7</v>
      </c>
      <c r="D190" s="86"/>
      <c r="E190" s="86" t="s">
        <v>49</v>
      </c>
      <c r="J190" s="96">
        <f>D198*70</f>
        <v>23800000</v>
      </c>
    </row>
    <row r="191" spans="1:10">
      <c r="A191" t="s">
        <v>8</v>
      </c>
      <c r="C191" s="87" t="s">
        <v>9</v>
      </c>
      <c r="D191" t="s">
        <v>10</v>
      </c>
      <c r="E191" s="114" t="s">
        <v>11</v>
      </c>
    </row>
    <row r="192" spans="1:10">
      <c r="A192" t="s">
        <v>12</v>
      </c>
      <c r="C192" t="s">
        <v>13</v>
      </c>
      <c r="D192" t="s">
        <v>14</v>
      </c>
      <c r="E192" t="s">
        <v>11</v>
      </c>
    </row>
    <row r="193" spans="1:5">
      <c r="A193" s="88" t="s">
        <v>15</v>
      </c>
      <c r="B193" s="89"/>
      <c r="C193" s="98" t="s">
        <v>16</v>
      </c>
      <c r="D193" s="95" t="s">
        <v>17</v>
      </c>
      <c r="E193" s="95" t="s">
        <v>18</v>
      </c>
    </row>
    <row r="194" spans="1:5">
      <c r="A194" s="90">
        <v>10</v>
      </c>
      <c r="B194" s="91">
        <v>13</v>
      </c>
      <c r="C194" s="88" t="e">
        <f t="shared" ref="C194:C204" si="8">IF(B194&lt;1,"-",VLOOKUP(B194,HARGA01,2))</f>
        <v>#REF!</v>
      </c>
      <c r="D194" s="96" t="e">
        <f t="shared" ref="D194:D204" si="9">IF(B194&lt;1,"-",VLOOKUP(B194,HARGA01,3))</f>
        <v>#REF!</v>
      </c>
      <c r="E194" s="96" t="e">
        <f t="shared" ref="E194:E204" si="10">IF(D194="-","-",A194*D194)</f>
        <v>#REF!</v>
      </c>
    </row>
    <row r="195" spans="1:5">
      <c r="A195" s="90">
        <v>10</v>
      </c>
      <c r="B195" s="91">
        <v>14</v>
      </c>
      <c r="C195" s="88" t="e">
        <f t="shared" si="8"/>
        <v>#REF!</v>
      </c>
      <c r="D195" s="96" t="e">
        <f t="shared" si="9"/>
        <v>#REF!</v>
      </c>
      <c r="E195" s="96" t="e">
        <f t="shared" si="10"/>
        <v>#REF!</v>
      </c>
    </row>
    <row r="196" spans="1:5">
      <c r="A196" s="90">
        <v>50</v>
      </c>
      <c r="B196" s="91">
        <v>27</v>
      </c>
      <c r="C196" s="88" t="s">
        <v>59</v>
      </c>
      <c r="D196" s="96">
        <v>23000</v>
      </c>
      <c r="E196" s="96">
        <f t="shared" si="10"/>
        <v>1150000</v>
      </c>
    </row>
    <row r="197" spans="1:5">
      <c r="A197" s="90">
        <v>50</v>
      </c>
      <c r="B197" s="91">
        <v>28</v>
      </c>
      <c r="C197" s="88" t="s">
        <v>60</v>
      </c>
      <c r="D197" s="96">
        <v>23000</v>
      </c>
      <c r="E197" s="96">
        <f t="shared" si="10"/>
        <v>1150000</v>
      </c>
    </row>
    <row r="198" spans="1:5">
      <c r="A198" s="100">
        <v>10</v>
      </c>
      <c r="B198" s="101"/>
      <c r="C198" s="88" t="s">
        <v>61</v>
      </c>
      <c r="D198" s="96">
        <v>340000</v>
      </c>
      <c r="E198" s="96">
        <f t="shared" si="10"/>
        <v>3400000</v>
      </c>
    </row>
    <row r="199" spans="1:5">
      <c r="A199" s="103"/>
      <c r="B199" s="104"/>
      <c r="C199" s="88" t="str">
        <f t="shared" si="8"/>
        <v>-</v>
      </c>
      <c r="D199" s="96" t="str">
        <f t="shared" si="9"/>
        <v>-</v>
      </c>
      <c r="E199" s="96" t="str">
        <f t="shared" si="10"/>
        <v>-</v>
      </c>
    </row>
    <row r="200" spans="1:5">
      <c r="A200" s="103"/>
      <c r="B200" s="104"/>
      <c r="C200" s="88" t="str">
        <f t="shared" si="8"/>
        <v>-</v>
      </c>
      <c r="D200" s="96" t="str">
        <f t="shared" si="9"/>
        <v>-</v>
      </c>
      <c r="E200" s="96" t="str">
        <f t="shared" si="10"/>
        <v>-</v>
      </c>
    </row>
    <row r="201" spans="1:5">
      <c r="A201" s="103"/>
      <c r="B201" s="104"/>
      <c r="C201" s="88" t="str">
        <f t="shared" si="8"/>
        <v>-</v>
      </c>
      <c r="D201" s="96" t="str">
        <f t="shared" si="9"/>
        <v>-</v>
      </c>
      <c r="E201" s="96" t="str">
        <f t="shared" si="10"/>
        <v>-</v>
      </c>
    </row>
    <row r="202" spans="1:5">
      <c r="A202" s="105"/>
      <c r="B202" s="106"/>
      <c r="C202" s="88" t="str">
        <f t="shared" si="8"/>
        <v>-</v>
      </c>
      <c r="D202" s="96" t="str">
        <f t="shared" si="9"/>
        <v>-</v>
      </c>
      <c r="E202" s="96" t="str">
        <f t="shared" si="10"/>
        <v>-</v>
      </c>
    </row>
    <row r="203" spans="1:5">
      <c r="A203" s="90"/>
      <c r="B203" s="91"/>
      <c r="C203" s="88" t="str">
        <f t="shared" si="8"/>
        <v>-</v>
      </c>
      <c r="D203" s="96" t="str">
        <f t="shared" si="9"/>
        <v>-</v>
      </c>
      <c r="E203" s="96" t="str">
        <f t="shared" si="10"/>
        <v>-</v>
      </c>
    </row>
    <row r="204" spans="1:5">
      <c r="A204" s="90"/>
      <c r="B204" s="91"/>
      <c r="C204" s="88" t="str">
        <f t="shared" si="8"/>
        <v>-</v>
      </c>
      <c r="D204" s="96" t="str">
        <f t="shared" si="9"/>
        <v>-</v>
      </c>
      <c r="E204" s="96" t="str">
        <f t="shared" si="10"/>
        <v>-</v>
      </c>
    </row>
    <row r="205" spans="1:5">
      <c r="A205" s="634" t="s">
        <v>23</v>
      </c>
      <c r="B205" s="635"/>
      <c r="C205" s="634"/>
      <c r="D205" s="636"/>
      <c r="E205" s="96" t="e">
        <f>SUM(E194:E204)</f>
        <v>#REF!</v>
      </c>
    </row>
    <row r="206" spans="1:5">
      <c r="A206" s="28" t="s">
        <v>24</v>
      </c>
      <c r="B206" s="28"/>
      <c r="D206" s="637" t="s">
        <v>25</v>
      </c>
      <c r="E206" s="637"/>
    </row>
    <row r="209" spans="1:5">
      <c r="D209" s="94" t="s">
        <v>27</v>
      </c>
      <c r="E209" s="25"/>
    </row>
    <row r="210" spans="1:5" ht="27">
      <c r="A210" s="2" t="s">
        <v>0</v>
      </c>
      <c r="B210" s="2"/>
    </row>
    <row r="211" spans="1:5">
      <c r="A211" t="s">
        <v>1</v>
      </c>
      <c r="C211" t="s">
        <v>2</v>
      </c>
      <c r="D211" t="s">
        <v>3</v>
      </c>
      <c r="E211" s="85">
        <v>43906</v>
      </c>
    </row>
    <row r="212" spans="1:5">
      <c r="C212" t="s">
        <v>4</v>
      </c>
      <c r="D212" t="s">
        <v>5</v>
      </c>
      <c r="E212" t="s">
        <v>48</v>
      </c>
    </row>
    <row r="213" spans="1:5">
      <c r="C213" t="s">
        <v>7</v>
      </c>
      <c r="D213" s="86"/>
      <c r="E213" s="86" t="s">
        <v>49</v>
      </c>
    </row>
    <row r="214" spans="1:5">
      <c r="A214" t="s">
        <v>8</v>
      </c>
      <c r="C214" s="87" t="s">
        <v>9</v>
      </c>
      <c r="D214" t="s">
        <v>10</v>
      </c>
      <c r="E214" s="114" t="s">
        <v>11</v>
      </c>
    </row>
    <row r="215" spans="1:5">
      <c r="A215" t="s">
        <v>12</v>
      </c>
      <c r="C215" t="s">
        <v>13</v>
      </c>
      <c r="D215" t="s">
        <v>14</v>
      </c>
      <c r="E215" t="s">
        <v>11</v>
      </c>
    </row>
    <row r="216" spans="1:5">
      <c r="A216" s="88" t="s">
        <v>15</v>
      </c>
      <c r="B216" s="89"/>
      <c r="C216" s="98" t="s">
        <v>16</v>
      </c>
      <c r="D216" s="95" t="s">
        <v>17</v>
      </c>
      <c r="E216" s="95" t="s">
        <v>18</v>
      </c>
    </row>
    <row r="217" spans="1:5">
      <c r="A217" s="100">
        <v>15</v>
      </c>
      <c r="B217" s="101">
        <v>13</v>
      </c>
      <c r="C217" s="98" t="s">
        <v>54</v>
      </c>
      <c r="D217" s="96">
        <f>180*20*200*1300/1000</f>
        <v>936000</v>
      </c>
      <c r="E217" s="96">
        <f t="shared" ref="E217:E227" si="11">IF(D217="-","-",A217*D217)</f>
        <v>14040000</v>
      </c>
    </row>
    <row r="218" spans="1:5">
      <c r="A218" s="103">
        <v>7</v>
      </c>
      <c r="B218" s="104" t="s">
        <v>62</v>
      </c>
      <c r="C218" s="99" t="s">
        <v>57</v>
      </c>
      <c r="D218" s="96">
        <f>100*20*200*1300/1000</f>
        <v>520000</v>
      </c>
      <c r="E218" s="96">
        <f t="shared" si="11"/>
        <v>3640000</v>
      </c>
    </row>
    <row r="219" spans="1:5">
      <c r="A219" s="103">
        <v>12</v>
      </c>
      <c r="B219" s="104"/>
      <c r="C219" s="99" t="s">
        <v>50</v>
      </c>
      <c r="D219" s="96">
        <f>120*20*200*1300/1000</f>
        <v>624000</v>
      </c>
      <c r="E219" s="96">
        <f t="shared" si="11"/>
        <v>7488000</v>
      </c>
    </row>
    <row r="220" spans="1:5">
      <c r="A220" s="103">
        <v>17</v>
      </c>
      <c r="B220" s="104"/>
      <c r="C220" s="99" t="s">
        <v>51</v>
      </c>
      <c r="D220" s="96">
        <f>140*20*200*1300/1000</f>
        <v>728000</v>
      </c>
      <c r="E220" s="96">
        <f t="shared" si="11"/>
        <v>12376000</v>
      </c>
    </row>
    <row r="221" spans="1:5">
      <c r="A221" s="103">
        <v>7</v>
      </c>
      <c r="B221" s="104"/>
      <c r="C221" s="99" t="s">
        <v>52</v>
      </c>
      <c r="D221" s="96">
        <f>150*20*200*1300/1000</f>
        <v>780000</v>
      </c>
      <c r="E221" s="96">
        <f t="shared" si="11"/>
        <v>5460000</v>
      </c>
    </row>
    <row r="222" spans="1:5">
      <c r="A222" s="103">
        <v>17</v>
      </c>
      <c r="B222" s="104"/>
      <c r="C222" s="99" t="s">
        <v>53</v>
      </c>
      <c r="D222" s="96">
        <f>160*20*200*1300/1000</f>
        <v>832000</v>
      </c>
      <c r="E222" s="96">
        <f t="shared" si="11"/>
        <v>14144000</v>
      </c>
    </row>
    <row r="223" spans="1:5">
      <c r="A223" s="108"/>
      <c r="B223" s="109"/>
      <c r="C223" s="110" t="str">
        <f>IF(B223&lt;1,"-",VLOOKUP(B223,HARGA01,2))</f>
        <v>-</v>
      </c>
      <c r="D223" s="96" t="str">
        <f>IF(B223&lt;1,"-",VLOOKUP(B223,HARGA01,3))</f>
        <v>-</v>
      </c>
      <c r="E223" s="96" t="str">
        <f t="shared" si="11"/>
        <v>-</v>
      </c>
    </row>
    <row r="224" spans="1:5">
      <c r="A224" s="103"/>
      <c r="B224" s="104"/>
      <c r="C224" s="88" t="str">
        <f>IF(B224&lt;1,"-",VLOOKUP(B224,HARGA01,2))</f>
        <v>-</v>
      </c>
      <c r="D224" s="96" t="str">
        <f>IF(B224&lt;1,"-",VLOOKUP(B224,HARGA01,3))</f>
        <v>-</v>
      </c>
      <c r="E224" s="96" t="str">
        <f t="shared" si="11"/>
        <v>-</v>
      </c>
    </row>
    <row r="225" spans="1:5">
      <c r="A225" s="105"/>
      <c r="B225" s="106"/>
      <c r="C225" s="88" t="str">
        <f>IF(B225&lt;1,"-",VLOOKUP(B225,HARGA01,2))</f>
        <v>-</v>
      </c>
      <c r="D225" s="96" t="str">
        <f>IF(B225&lt;1,"-",VLOOKUP(B225,HARGA01,3))</f>
        <v>-</v>
      </c>
      <c r="E225" s="96" t="str">
        <f t="shared" si="11"/>
        <v>-</v>
      </c>
    </row>
    <row r="226" spans="1:5">
      <c r="A226" s="90"/>
      <c r="B226" s="91"/>
      <c r="C226" s="88" t="str">
        <f>IF(B226&lt;1,"-",VLOOKUP(B226,HARGA01,2))</f>
        <v>-</v>
      </c>
      <c r="D226" s="96" t="str">
        <f>IF(B226&lt;1,"-",VLOOKUP(B226,HARGA01,3))</f>
        <v>-</v>
      </c>
      <c r="E226" s="96" t="str">
        <f t="shared" si="11"/>
        <v>-</v>
      </c>
    </row>
    <row r="227" spans="1:5">
      <c r="A227" s="90"/>
      <c r="B227" s="91"/>
      <c r="C227" s="88" t="str">
        <f>IF(B227&lt;1,"-",VLOOKUP(B227,HARGA01,2))</f>
        <v>-</v>
      </c>
      <c r="D227" s="96" t="str">
        <f>IF(B227&lt;1,"-",VLOOKUP(B227,HARGA01,3))</f>
        <v>-</v>
      </c>
      <c r="E227" s="96" t="str">
        <f t="shared" si="11"/>
        <v>-</v>
      </c>
    </row>
    <row r="228" spans="1:5">
      <c r="A228" s="634" t="s">
        <v>23</v>
      </c>
      <c r="B228" s="635"/>
      <c r="C228" s="634"/>
      <c r="D228" s="636"/>
      <c r="E228" s="96">
        <f>SUM(E217:E227)</f>
        <v>57148000</v>
      </c>
    </row>
    <row r="229" spans="1:5">
      <c r="A229" s="28" t="s">
        <v>24</v>
      </c>
      <c r="B229" s="28"/>
      <c r="D229" s="637" t="s">
        <v>25</v>
      </c>
      <c r="E229" s="637"/>
    </row>
    <row r="232" spans="1:5">
      <c r="D232" s="94" t="s">
        <v>27</v>
      </c>
      <c r="E232" s="25"/>
    </row>
    <row r="234" spans="1:5" ht="27">
      <c r="A234" s="2" t="s">
        <v>0</v>
      </c>
      <c r="B234" s="2"/>
      <c r="D234" t="s">
        <v>63</v>
      </c>
    </row>
    <row r="235" spans="1:5">
      <c r="A235" t="s">
        <v>1</v>
      </c>
      <c r="C235" t="s">
        <v>2</v>
      </c>
      <c r="D235" t="s">
        <v>3</v>
      </c>
      <c r="E235" s="85">
        <v>43921</v>
      </c>
    </row>
    <row r="236" spans="1:5">
      <c r="C236" t="s">
        <v>4</v>
      </c>
      <c r="D236" t="s">
        <v>5</v>
      </c>
      <c r="E236" t="s">
        <v>48</v>
      </c>
    </row>
    <row r="237" spans="1:5">
      <c r="C237" t="s">
        <v>7</v>
      </c>
      <c r="D237" s="86"/>
      <c r="E237" s="86" t="s">
        <v>49</v>
      </c>
    </row>
    <row r="238" spans="1:5">
      <c r="A238" t="s">
        <v>8</v>
      </c>
      <c r="C238" s="87" t="s">
        <v>9</v>
      </c>
      <c r="D238" t="s">
        <v>10</v>
      </c>
      <c r="E238" s="114" t="s">
        <v>11</v>
      </c>
    </row>
    <row r="239" spans="1:5">
      <c r="A239" t="s">
        <v>12</v>
      </c>
      <c r="C239" t="s">
        <v>13</v>
      </c>
      <c r="D239" t="s">
        <v>14</v>
      </c>
      <c r="E239" t="s">
        <v>11</v>
      </c>
    </row>
    <row r="240" spans="1:5">
      <c r="A240" s="88" t="s">
        <v>15</v>
      </c>
      <c r="B240" s="89"/>
      <c r="C240" s="98" t="s">
        <v>16</v>
      </c>
      <c r="D240" s="95" t="s">
        <v>17</v>
      </c>
      <c r="E240" s="95" t="s">
        <v>18</v>
      </c>
    </row>
    <row r="241" spans="1:5">
      <c r="A241" s="100">
        <v>10</v>
      </c>
      <c r="B241" s="101">
        <v>13</v>
      </c>
      <c r="C241" s="110" t="e">
        <f>IF(B241&lt;1,"-",VLOOKUP(B241,HARGA01,2))</f>
        <v>#REF!</v>
      </c>
      <c r="D241" s="96"/>
      <c r="E241" s="96"/>
    </row>
    <row r="242" spans="1:5">
      <c r="A242" s="103">
        <v>5</v>
      </c>
      <c r="B242" s="104">
        <v>14</v>
      </c>
      <c r="C242" s="110" t="e">
        <f>IF(B242&lt;1,"-",VLOOKUP(B242,HARGA01,2))</f>
        <v>#REF!</v>
      </c>
      <c r="D242" s="96"/>
      <c r="E242" s="96"/>
    </row>
    <row r="243" spans="1:5">
      <c r="A243" s="103">
        <v>70</v>
      </c>
      <c r="B243" s="104"/>
      <c r="C243" s="110" t="s">
        <v>64</v>
      </c>
      <c r="D243" s="96" t="str">
        <f t="shared" ref="D243:D251" si="12">IF(B243&lt;1,"-",VLOOKUP(B243,HARGA01,3))</f>
        <v>-</v>
      </c>
      <c r="E243" s="96" t="str">
        <f t="shared" ref="E243:E251" si="13">IF(D243="-","-",A243*D243)</f>
        <v>-</v>
      </c>
    </row>
    <row r="244" spans="1:5">
      <c r="A244" s="103">
        <v>20</v>
      </c>
      <c r="B244" s="104"/>
      <c r="C244" s="110" t="s">
        <v>65</v>
      </c>
      <c r="D244" s="96" t="str">
        <f t="shared" si="12"/>
        <v>-</v>
      </c>
      <c r="E244" s="96" t="str">
        <f t="shared" si="13"/>
        <v>-</v>
      </c>
    </row>
    <row r="245" spans="1:5">
      <c r="A245" s="103"/>
      <c r="B245" s="104"/>
      <c r="C245" s="110" t="str">
        <f t="shared" ref="C245:C251" si="14">IF(B245&lt;1,"-",VLOOKUP(B245,HARGA01,2))</f>
        <v>-</v>
      </c>
      <c r="D245" s="96" t="str">
        <f t="shared" si="12"/>
        <v>-</v>
      </c>
      <c r="E245" s="96" t="str">
        <f t="shared" si="13"/>
        <v>-</v>
      </c>
    </row>
    <row r="246" spans="1:5">
      <c r="A246" s="103"/>
      <c r="B246" s="104"/>
      <c r="C246" s="110" t="str">
        <f t="shared" si="14"/>
        <v>-</v>
      </c>
      <c r="D246" s="96" t="str">
        <f t="shared" si="12"/>
        <v>-</v>
      </c>
      <c r="E246" s="96" t="str">
        <f t="shared" si="13"/>
        <v>-</v>
      </c>
    </row>
    <row r="247" spans="1:5">
      <c r="A247" s="108"/>
      <c r="B247" s="109"/>
      <c r="C247" s="110" t="str">
        <f t="shared" si="14"/>
        <v>-</v>
      </c>
      <c r="D247" s="96" t="str">
        <f t="shared" si="12"/>
        <v>-</v>
      </c>
      <c r="E247" s="96" t="str">
        <f t="shared" si="13"/>
        <v>-</v>
      </c>
    </row>
    <row r="248" spans="1:5">
      <c r="A248" s="103"/>
      <c r="B248" s="104"/>
      <c r="C248" s="88" t="str">
        <f t="shared" si="14"/>
        <v>-</v>
      </c>
      <c r="D248" s="96" t="str">
        <f t="shared" si="12"/>
        <v>-</v>
      </c>
      <c r="E248" s="96" t="str">
        <f t="shared" si="13"/>
        <v>-</v>
      </c>
    </row>
    <row r="249" spans="1:5">
      <c r="A249" s="105"/>
      <c r="B249" s="106"/>
      <c r="C249" s="88" t="str">
        <f t="shared" si="14"/>
        <v>-</v>
      </c>
      <c r="D249" s="96" t="str">
        <f t="shared" si="12"/>
        <v>-</v>
      </c>
      <c r="E249" s="96" t="str">
        <f t="shared" si="13"/>
        <v>-</v>
      </c>
    </row>
    <row r="250" spans="1:5">
      <c r="A250" s="90"/>
      <c r="B250" s="91"/>
      <c r="C250" s="88" t="str">
        <f t="shared" si="14"/>
        <v>-</v>
      </c>
      <c r="D250" s="96" t="str">
        <f t="shared" si="12"/>
        <v>-</v>
      </c>
      <c r="E250" s="96" t="str">
        <f t="shared" si="13"/>
        <v>-</v>
      </c>
    </row>
    <row r="251" spans="1:5">
      <c r="A251" s="90"/>
      <c r="B251" s="91"/>
      <c r="C251" s="88" t="str">
        <f t="shared" si="14"/>
        <v>-</v>
      </c>
      <c r="D251" s="96" t="str">
        <f t="shared" si="12"/>
        <v>-</v>
      </c>
      <c r="E251" s="96" t="str">
        <f t="shared" si="13"/>
        <v>-</v>
      </c>
    </row>
    <row r="252" spans="1:5">
      <c r="A252" s="634" t="s">
        <v>23</v>
      </c>
      <c r="B252" s="635"/>
      <c r="C252" s="634"/>
      <c r="D252" s="636"/>
      <c r="E252" s="96">
        <f>SUM(E241:E251)</f>
        <v>0</v>
      </c>
    </row>
    <row r="253" spans="1:5">
      <c r="A253" s="28" t="s">
        <v>24</v>
      </c>
      <c r="B253" s="28"/>
      <c r="D253" s="637" t="s">
        <v>25</v>
      </c>
      <c r="E253" s="637"/>
    </row>
    <row r="256" spans="1:5">
      <c r="D256" s="94" t="s">
        <v>27</v>
      </c>
      <c r="E256" s="25"/>
    </row>
    <row r="258" spans="1:5" ht="27">
      <c r="A258" s="2" t="s">
        <v>0</v>
      </c>
      <c r="B258" s="2"/>
    </row>
    <row r="259" spans="1:5">
      <c r="A259" t="s">
        <v>1</v>
      </c>
      <c r="C259" t="s">
        <v>2</v>
      </c>
      <c r="D259" t="s">
        <v>3</v>
      </c>
      <c r="E259" s="85">
        <v>43921</v>
      </c>
    </row>
    <row r="260" spans="1:5">
      <c r="C260" t="s">
        <v>4</v>
      </c>
      <c r="D260" t="s">
        <v>5</v>
      </c>
      <c r="E260" t="s">
        <v>48</v>
      </c>
    </row>
    <row r="261" spans="1:5">
      <c r="C261" t="s">
        <v>7</v>
      </c>
      <c r="D261" s="86"/>
      <c r="E261" s="86" t="s">
        <v>49</v>
      </c>
    </row>
    <row r="262" spans="1:5">
      <c r="A262" t="s">
        <v>8</v>
      </c>
      <c r="C262" s="87" t="s">
        <v>9</v>
      </c>
      <c r="D262" t="s">
        <v>10</v>
      </c>
      <c r="E262" s="114" t="s">
        <v>11</v>
      </c>
    </row>
    <row r="263" spans="1:5">
      <c r="A263" t="s">
        <v>12</v>
      </c>
      <c r="C263" t="s">
        <v>13</v>
      </c>
      <c r="D263" t="s">
        <v>14</v>
      </c>
      <c r="E263" t="s">
        <v>11</v>
      </c>
    </row>
    <row r="264" spans="1:5">
      <c r="A264" s="88" t="s">
        <v>15</v>
      </c>
      <c r="B264" s="89"/>
      <c r="C264" s="98" t="s">
        <v>16</v>
      </c>
      <c r="D264" s="95" t="s">
        <v>17</v>
      </c>
      <c r="E264" s="95" t="s">
        <v>18</v>
      </c>
    </row>
    <row r="265" spans="1:5">
      <c r="A265" s="100">
        <v>15</v>
      </c>
      <c r="B265" s="101"/>
      <c r="C265" s="98" t="s">
        <v>55</v>
      </c>
      <c r="D265" s="96">
        <f>120*15*200*1300/1000</f>
        <v>468000</v>
      </c>
      <c r="E265" s="96">
        <f t="shared" ref="E265:E275" si="15">IF(D265="-","-",A265*D265)</f>
        <v>7020000</v>
      </c>
    </row>
    <row r="266" spans="1:5">
      <c r="A266" s="103">
        <v>15</v>
      </c>
      <c r="B266" s="104"/>
      <c r="C266" s="98" t="s">
        <v>56</v>
      </c>
      <c r="D266" s="96">
        <f>140*15*200*1300/1000</f>
        <v>546000</v>
      </c>
      <c r="E266" s="96">
        <f t="shared" si="15"/>
        <v>8190000</v>
      </c>
    </row>
    <row r="267" spans="1:5">
      <c r="A267" s="103">
        <v>20</v>
      </c>
      <c r="B267" s="104"/>
      <c r="C267" s="98" t="s">
        <v>51</v>
      </c>
      <c r="D267" s="96">
        <f>140*20*200*1300/1000</f>
        <v>728000</v>
      </c>
      <c r="E267" s="96">
        <f t="shared" si="15"/>
        <v>14560000</v>
      </c>
    </row>
    <row r="268" spans="1:5">
      <c r="A268" s="103">
        <v>12</v>
      </c>
      <c r="B268" s="104"/>
      <c r="C268" s="98" t="s">
        <v>52</v>
      </c>
      <c r="D268" s="96">
        <f>150*20*200*1300/1000</f>
        <v>780000</v>
      </c>
      <c r="E268" s="96">
        <f t="shared" si="15"/>
        <v>9360000</v>
      </c>
    </row>
    <row r="269" spans="1:5">
      <c r="A269" s="103"/>
      <c r="B269" s="104"/>
      <c r="C269" s="110" t="s">
        <v>58</v>
      </c>
      <c r="D269" s="96" t="str">
        <f t="shared" ref="D269:D275" si="16">IF(B269&lt;1,"-",VLOOKUP(B269,HARGA01,3))</f>
        <v>-</v>
      </c>
      <c r="E269" s="96">
        <v>-6000000</v>
      </c>
    </row>
    <row r="270" spans="1:5">
      <c r="A270" s="103"/>
      <c r="B270" s="104"/>
      <c r="C270" s="110" t="str">
        <f t="shared" ref="C270:C275" si="17">IF(B270&lt;1,"-",VLOOKUP(B270,HARGA01,2))</f>
        <v>-</v>
      </c>
      <c r="D270" s="96" t="str">
        <f t="shared" si="16"/>
        <v>-</v>
      </c>
      <c r="E270" s="96">
        <v>-30000000</v>
      </c>
    </row>
    <row r="271" spans="1:5">
      <c r="A271" s="108"/>
      <c r="B271" s="109"/>
      <c r="C271" s="110" t="str">
        <f t="shared" si="17"/>
        <v>-</v>
      </c>
      <c r="D271" s="96" t="str">
        <f t="shared" si="16"/>
        <v>-</v>
      </c>
      <c r="E271" s="96" t="str">
        <f t="shared" si="15"/>
        <v>-</v>
      </c>
    </row>
    <row r="272" spans="1:5">
      <c r="A272" s="103"/>
      <c r="B272" s="104"/>
      <c r="C272" s="88" t="str">
        <f t="shared" si="17"/>
        <v>-</v>
      </c>
      <c r="D272" s="96" t="str">
        <f t="shared" si="16"/>
        <v>-</v>
      </c>
      <c r="E272" s="96" t="str">
        <f t="shared" si="15"/>
        <v>-</v>
      </c>
    </row>
    <row r="273" spans="1:5">
      <c r="A273" s="105"/>
      <c r="B273" s="106"/>
      <c r="C273" s="88" t="str">
        <f t="shared" si="17"/>
        <v>-</v>
      </c>
      <c r="D273" s="96" t="str">
        <f t="shared" si="16"/>
        <v>-</v>
      </c>
      <c r="E273" s="96" t="str">
        <f t="shared" si="15"/>
        <v>-</v>
      </c>
    </row>
    <row r="274" spans="1:5">
      <c r="A274" s="90"/>
      <c r="B274" s="91"/>
      <c r="C274" s="88" t="str">
        <f t="shared" si="17"/>
        <v>-</v>
      </c>
      <c r="D274" s="96" t="str">
        <f t="shared" si="16"/>
        <v>-</v>
      </c>
      <c r="E274" s="96" t="str">
        <f t="shared" si="15"/>
        <v>-</v>
      </c>
    </row>
    <row r="275" spans="1:5">
      <c r="A275" s="90"/>
      <c r="B275" s="91"/>
      <c r="C275" s="88" t="str">
        <f t="shared" si="17"/>
        <v>-</v>
      </c>
      <c r="D275" s="96" t="str">
        <f t="shared" si="16"/>
        <v>-</v>
      </c>
      <c r="E275" s="96" t="str">
        <f t="shared" si="15"/>
        <v>-</v>
      </c>
    </row>
    <row r="276" spans="1:5">
      <c r="A276" s="634" t="s">
        <v>23</v>
      </c>
      <c r="B276" s="635"/>
      <c r="C276" s="634"/>
      <c r="D276" s="636"/>
      <c r="E276" s="96">
        <f>SUM(E265:E275)</f>
        <v>3130000</v>
      </c>
    </row>
    <row r="277" spans="1:5">
      <c r="A277" s="28" t="s">
        <v>24</v>
      </c>
      <c r="B277" s="28"/>
      <c r="D277" s="637" t="s">
        <v>25</v>
      </c>
      <c r="E277" s="637"/>
    </row>
    <row r="280" spans="1:5">
      <c r="D280" s="94" t="s">
        <v>27</v>
      </c>
      <c r="E280" s="25"/>
    </row>
    <row r="281" spans="1:5" ht="27">
      <c r="A281" s="2" t="s">
        <v>0</v>
      </c>
      <c r="B281" s="2"/>
    </row>
    <row r="282" spans="1:5">
      <c r="A282" t="s">
        <v>1</v>
      </c>
      <c r="C282" t="s">
        <v>2</v>
      </c>
      <c r="D282" t="s">
        <v>3</v>
      </c>
      <c r="E282" s="85">
        <v>43936</v>
      </c>
    </row>
    <row r="283" spans="1:5">
      <c r="C283" t="s">
        <v>4</v>
      </c>
      <c r="D283" t="s">
        <v>5</v>
      </c>
      <c r="E283" t="s">
        <v>48</v>
      </c>
    </row>
    <row r="284" spans="1:5">
      <c r="C284" t="s">
        <v>7</v>
      </c>
      <c r="D284" s="86"/>
      <c r="E284" s="86" t="s">
        <v>49</v>
      </c>
    </row>
    <row r="285" spans="1:5">
      <c r="A285" t="s">
        <v>8</v>
      </c>
      <c r="C285" s="87" t="s">
        <v>9</v>
      </c>
      <c r="D285" t="s">
        <v>10</v>
      </c>
      <c r="E285" s="114" t="s">
        <v>11</v>
      </c>
    </row>
    <row r="286" spans="1:5">
      <c r="A286" t="s">
        <v>12</v>
      </c>
      <c r="C286" t="s">
        <v>13</v>
      </c>
      <c r="D286" t="s">
        <v>14</v>
      </c>
      <c r="E286" t="s">
        <v>11</v>
      </c>
    </row>
    <row r="287" spans="1:5">
      <c r="A287" s="88" t="s">
        <v>15</v>
      </c>
      <c r="B287" s="89"/>
      <c r="C287" s="98" t="s">
        <v>16</v>
      </c>
      <c r="D287" s="95" t="s">
        <v>17</v>
      </c>
      <c r="E287" s="95" t="s">
        <v>18</v>
      </c>
    </row>
    <row r="288" spans="1:5">
      <c r="A288" s="100">
        <v>10</v>
      </c>
      <c r="B288" s="101"/>
      <c r="C288" s="74" t="s">
        <v>66</v>
      </c>
      <c r="D288" s="75">
        <v>260000</v>
      </c>
      <c r="E288" s="96">
        <f t="shared" ref="E288:E298" si="18">IF(D288="-","-",A288*D288)</f>
        <v>2600000</v>
      </c>
    </row>
    <row r="289" spans="1:5">
      <c r="A289" s="103">
        <v>15</v>
      </c>
      <c r="B289" s="104"/>
      <c r="C289" s="74" t="s">
        <v>67</v>
      </c>
      <c r="D289" s="75">
        <v>190000</v>
      </c>
      <c r="E289" s="96">
        <f t="shared" si="18"/>
        <v>2850000</v>
      </c>
    </row>
    <row r="290" spans="1:5">
      <c r="A290" s="103"/>
      <c r="B290" s="104"/>
      <c r="C290" s="110" t="str">
        <f t="shared" ref="C290:C298" si="19">IF(B290&lt;1,"-",VLOOKUP(B290,HARGA01,2))</f>
        <v>-</v>
      </c>
      <c r="D290" s="96" t="str">
        <f t="shared" ref="D290:D298" si="20">IF(B290&lt;1,"-",VLOOKUP(B290,HARGA01,3))</f>
        <v>-</v>
      </c>
      <c r="E290" s="96" t="str">
        <f t="shared" si="18"/>
        <v>-</v>
      </c>
    </row>
    <row r="291" spans="1:5">
      <c r="A291" s="103"/>
      <c r="B291" s="104"/>
      <c r="C291" s="110" t="str">
        <f t="shared" si="19"/>
        <v>-</v>
      </c>
      <c r="D291" s="96" t="str">
        <f t="shared" si="20"/>
        <v>-</v>
      </c>
      <c r="E291" s="96" t="str">
        <f t="shared" si="18"/>
        <v>-</v>
      </c>
    </row>
    <row r="292" spans="1:5">
      <c r="A292" s="103"/>
      <c r="B292" s="104"/>
      <c r="C292" s="110" t="str">
        <f t="shared" si="19"/>
        <v>-</v>
      </c>
      <c r="D292" s="96" t="str">
        <f t="shared" si="20"/>
        <v>-</v>
      </c>
      <c r="E292" s="96" t="str">
        <f t="shared" si="18"/>
        <v>-</v>
      </c>
    </row>
    <row r="293" spans="1:5">
      <c r="A293" s="103"/>
      <c r="B293" s="104"/>
      <c r="C293" s="110" t="str">
        <f t="shared" si="19"/>
        <v>-</v>
      </c>
      <c r="D293" s="96" t="str">
        <f t="shared" si="20"/>
        <v>-</v>
      </c>
      <c r="E293" s="96" t="str">
        <f t="shared" si="18"/>
        <v>-</v>
      </c>
    </row>
    <row r="294" spans="1:5">
      <c r="A294" s="108"/>
      <c r="B294" s="109"/>
      <c r="C294" s="110" t="str">
        <f t="shared" si="19"/>
        <v>-</v>
      </c>
      <c r="D294" s="96" t="str">
        <f t="shared" si="20"/>
        <v>-</v>
      </c>
      <c r="E294" s="96" t="str">
        <f t="shared" si="18"/>
        <v>-</v>
      </c>
    </row>
    <row r="295" spans="1:5">
      <c r="A295" s="103"/>
      <c r="B295" s="104"/>
      <c r="C295" s="88" t="str">
        <f t="shared" si="19"/>
        <v>-</v>
      </c>
      <c r="D295" s="96" t="str">
        <f t="shared" si="20"/>
        <v>-</v>
      </c>
      <c r="E295" s="96" t="str">
        <f t="shared" si="18"/>
        <v>-</v>
      </c>
    </row>
    <row r="296" spans="1:5">
      <c r="A296" s="105"/>
      <c r="B296" s="106"/>
      <c r="C296" s="88" t="str">
        <f t="shared" si="19"/>
        <v>-</v>
      </c>
      <c r="D296" s="96" t="str">
        <f t="shared" si="20"/>
        <v>-</v>
      </c>
      <c r="E296" s="96" t="str">
        <f t="shared" si="18"/>
        <v>-</v>
      </c>
    </row>
    <row r="297" spans="1:5">
      <c r="A297" s="90"/>
      <c r="B297" s="91"/>
      <c r="C297" s="88" t="str">
        <f t="shared" si="19"/>
        <v>-</v>
      </c>
      <c r="D297" s="96" t="str">
        <f t="shared" si="20"/>
        <v>-</v>
      </c>
      <c r="E297" s="96" t="str">
        <f t="shared" si="18"/>
        <v>-</v>
      </c>
    </row>
    <row r="298" spans="1:5">
      <c r="A298" s="90"/>
      <c r="B298" s="91"/>
      <c r="C298" s="88" t="str">
        <f t="shared" si="19"/>
        <v>-</v>
      </c>
      <c r="D298" s="96" t="str">
        <f t="shared" si="20"/>
        <v>-</v>
      </c>
      <c r="E298" s="96" t="str">
        <f t="shared" si="18"/>
        <v>-</v>
      </c>
    </row>
    <row r="299" spans="1:5">
      <c r="A299" s="634" t="s">
        <v>23</v>
      </c>
      <c r="B299" s="635"/>
      <c r="C299" s="634"/>
      <c r="D299" s="636"/>
      <c r="E299" s="96">
        <f>SUM(E288:E298)</f>
        <v>5450000</v>
      </c>
    </row>
    <row r="300" spans="1:5">
      <c r="A300" s="28" t="s">
        <v>24</v>
      </c>
      <c r="B300" s="28"/>
      <c r="D300" s="637" t="s">
        <v>25</v>
      </c>
      <c r="E300" s="637"/>
    </row>
    <row r="303" spans="1:5">
      <c r="D303" s="94" t="s">
        <v>27</v>
      </c>
      <c r="E303" s="25"/>
    </row>
    <row r="304" spans="1:5" ht="27">
      <c r="A304" s="2" t="s">
        <v>0</v>
      </c>
      <c r="B304" s="2"/>
    </row>
    <row r="305" spans="1:5">
      <c r="A305" t="s">
        <v>1</v>
      </c>
      <c r="C305" t="s">
        <v>2</v>
      </c>
      <c r="D305" t="s">
        <v>3</v>
      </c>
      <c r="E305" s="85">
        <v>43938</v>
      </c>
    </row>
    <row r="306" spans="1:5">
      <c r="C306" t="s">
        <v>4</v>
      </c>
      <c r="D306" t="s">
        <v>5</v>
      </c>
      <c r="E306" t="s">
        <v>48</v>
      </c>
    </row>
    <row r="307" spans="1:5">
      <c r="C307" t="s">
        <v>7</v>
      </c>
      <c r="D307" s="86"/>
      <c r="E307" s="86" t="s">
        <v>49</v>
      </c>
    </row>
    <row r="308" spans="1:5">
      <c r="A308" t="s">
        <v>8</v>
      </c>
      <c r="C308" s="87" t="s">
        <v>9</v>
      </c>
      <c r="D308" t="s">
        <v>10</v>
      </c>
      <c r="E308" s="114" t="s">
        <v>11</v>
      </c>
    </row>
    <row r="309" spans="1:5">
      <c r="A309" t="s">
        <v>12</v>
      </c>
      <c r="C309" t="s">
        <v>13</v>
      </c>
      <c r="D309" t="s">
        <v>14</v>
      </c>
      <c r="E309" t="s">
        <v>11</v>
      </c>
    </row>
    <row r="310" spans="1:5">
      <c r="A310" s="88" t="s">
        <v>15</v>
      </c>
      <c r="B310" s="89"/>
      <c r="C310" s="98" t="s">
        <v>16</v>
      </c>
      <c r="D310" s="95" t="s">
        <v>17</v>
      </c>
      <c r="E310" s="95" t="s">
        <v>18</v>
      </c>
    </row>
    <row r="311" spans="1:5">
      <c r="A311" s="100">
        <v>10</v>
      </c>
      <c r="B311" s="101"/>
      <c r="C311" s="74" t="s">
        <v>68</v>
      </c>
      <c r="D311" s="75"/>
      <c r="E311" s="96">
        <f t="shared" ref="E311:E321" si="21">IF(D311="-","-",A311*D311)</f>
        <v>0</v>
      </c>
    </row>
    <row r="312" spans="1:5">
      <c r="A312" s="103">
        <v>15</v>
      </c>
      <c r="B312" s="104"/>
      <c r="C312" s="74" t="s">
        <v>69</v>
      </c>
      <c r="D312" s="75"/>
      <c r="E312" s="96">
        <f t="shared" si="21"/>
        <v>0</v>
      </c>
    </row>
    <row r="313" spans="1:5">
      <c r="A313" s="103">
        <v>5</v>
      </c>
      <c r="B313" s="104"/>
      <c r="C313" s="110" t="s">
        <v>70</v>
      </c>
      <c r="D313" s="96" t="str">
        <f t="shared" ref="D313:D321" si="22">IF(B313&lt;1,"-",VLOOKUP(B313,HARGA01,3))</f>
        <v>-</v>
      </c>
      <c r="E313" s="96" t="str">
        <f t="shared" si="21"/>
        <v>-</v>
      </c>
    </row>
    <row r="314" spans="1:5">
      <c r="A314" s="103">
        <v>10</v>
      </c>
      <c r="B314" s="104"/>
      <c r="C314" s="110" t="s">
        <v>71</v>
      </c>
      <c r="D314" s="96" t="str">
        <f t="shared" si="22"/>
        <v>-</v>
      </c>
      <c r="E314" s="96" t="str">
        <f t="shared" si="21"/>
        <v>-</v>
      </c>
    </row>
    <row r="315" spans="1:5">
      <c r="A315" s="103">
        <v>8</v>
      </c>
      <c r="B315" s="104"/>
      <c r="C315" s="110" t="s">
        <v>72</v>
      </c>
      <c r="D315" s="96" t="str">
        <f t="shared" si="22"/>
        <v>-</v>
      </c>
      <c r="E315" s="96" t="str">
        <f t="shared" si="21"/>
        <v>-</v>
      </c>
    </row>
    <row r="316" spans="1:5">
      <c r="A316" s="103"/>
      <c r="B316" s="104"/>
      <c r="C316" s="110" t="str">
        <f t="shared" ref="C316:C321" si="23">IF(B316&lt;1,"-",VLOOKUP(B316,HARGA01,2))</f>
        <v>-</v>
      </c>
      <c r="D316" s="96" t="str">
        <f t="shared" si="22"/>
        <v>-</v>
      </c>
      <c r="E316" s="96" t="str">
        <f t="shared" si="21"/>
        <v>-</v>
      </c>
    </row>
    <row r="317" spans="1:5">
      <c r="A317" s="108"/>
      <c r="B317" s="109"/>
      <c r="C317" s="110" t="str">
        <f t="shared" si="23"/>
        <v>-</v>
      </c>
      <c r="D317" s="96" t="str">
        <f t="shared" si="22"/>
        <v>-</v>
      </c>
      <c r="E317" s="96" t="str">
        <f t="shared" si="21"/>
        <v>-</v>
      </c>
    </row>
    <row r="318" spans="1:5">
      <c r="A318" s="103"/>
      <c r="B318" s="104"/>
      <c r="C318" s="88" t="str">
        <f t="shared" si="23"/>
        <v>-</v>
      </c>
      <c r="D318" s="96" t="str">
        <f t="shared" si="22"/>
        <v>-</v>
      </c>
      <c r="E318" s="96" t="str">
        <f t="shared" si="21"/>
        <v>-</v>
      </c>
    </row>
    <row r="319" spans="1:5">
      <c r="A319" s="105"/>
      <c r="B319" s="106"/>
      <c r="C319" s="88" t="str">
        <f t="shared" si="23"/>
        <v>-</v>
      </c>
      <c r="D319" s="96" t="str">
        <f t="shared" si="22"/>
        <v>-</v>
      </c>
      <c r="E319" s="96" t="str">
        <f t="shared" si="21"/>
        <v>-</v>
      </c>
    </row>
    <row r="320" spans="1:5">
      <c r="A320" s="90"/>
      <c r="B320" s="91"/>
      <c r="C320" s="88" t="str">
        <f t="shared" si="23"/>
        <v>-</v>
      </c>
      <c r="D320" s="96" t="str">
        <f t="shared" si="22"/>
        <v>-</v>
      </c>
      <c r="E320" s="96" t="str">
        <f t="shared" si="21"/>
        <v>-</v>
      </c>
    </row>
    <row r="321" spans="1:5">
      <c r="A321" s="90"/>
      <c r="B321" s="91"/>
      <c r="C321" s="88" t="str">
        <f t="shared" si="23"/>
        <v>-</v>
      </c>
      <c r="D321" s="96" t="str">
        <f t="shared" si="22"/>
        <v>-</v>
      </c>
      <c r="E321" s="96" t="str">
        <f t="shared" si="21"/>
        <v>-</v>
      </c>
    </row>
    <row r="322" spans="1:5">
      <c r="A322" s="634" t="s">
        <v>23</v>
      </c>
      <c r="B322" s="635"/>
      <c r="C322" s="634"/>
      <c r="D322" s="636"/>
      <c r="E322" s="96">
        <f>SUM(E311:E321)</f>
        <v>0</v>
      </c>
    </row>
    <row r="323" spans="1:5">
      <c r="A323" s="28" t="s">
        <v>24</v>
      </c>
      <c r="B323" s="28"/>
      <c r="D323" s="637" t="s">
        <v>25</v>
      </c>
      <c r="E323" s="637"/>
    </row>
    <row r="326" spans="1:5">
      <c r="D326" s="94" t="s">
        <v>27</v>
      </c>
      <c r="E326" s="25"/>
    </row>
    <row r="327" spans="1:5" ht="27">
      <c r="A327" s="2" t="s">
        <v>0</v>
      </c>
      <c r="B327" s="2"/>
    </row>
    <row r="328" spans="1:5">
      <c r="A328" t="s">
        <v>1</v>
      </c>
      <c r="C328" t="s">
        <v>2</v>
      </c>
      <c r="D328" t="s">
        <v>3</v>
      </c>
      <c r="E328" s="85">
        <v>43971</v>
      </c>
    </row>
    <row r="329" spans="1:5">
      <c r="C329" t="s">
        <v>4</v>
      </c>
      <c r="D329" t="s">
        <v>5</v>
      </c>
      <c r="E329" t="s">
        <v>48</v>
      </c>
    </row>
    <row r="330" spans="1:5">
      <c r="C330" t="s">
        <v>7</v>
      </c>
      <c r="D330" s="86"/>
      <c r="E330" s="86" t="s">
        <v>49</v>
      </c>
    </row>
    <row r="331" spans="1:5">
      <c r="A331" t="s">
        <v>8</v>
      </c>
      <c r="C331" s="87" t="s">
        <v>9</v>
      </c>
      <c r="D331" t="s">
        <v>10</v>
      </c>
      <c r="E331" s="114" t="s">
        <v>11</v>
      </c>
    </row>
    <row r="332" spans="1:5">
      <c r="A332" t="s">
        <v>12</v>
      </c>
      <c r="C332" t="s">
        <v>13</v>
      </c>
      <c r="D332" t="s">
        <v>14</v>
      </c>
      <c r="E332" t="s">
        <v>11</v>
      </c>
    </row>
    <row r="333" spans="1:5">
      <c r="A333" s="88" t="s">
        <v>15</v>
      </c>
      <c r="B333" s="89"/>
      <c r="C333" s="98" t="s">
        <v>16</v>
      </c>
      <c r="D333" s="95" t="s">
        <v>17</v>
      </c>
      <c r="E333" s="95" t="s">
        <v>18</v>
      </c>
    </row>
    <row r="334" spans="1:5">
      <c r="A334" s="100">
        <v>10</v>
      </c>
      <c r="B334" s="101"/>
      <c r="C334" s="74" t="s">
        <v>68</v>
      </c>
      <c r="D334" s="75">
        <f>120*200*20*1300/1000</f>
        <v>624000</v>
      </c>
      <c r="E334" s="96">
        <f t="shared" ref="E334:E344" si="24">IF(D334="-","-",A334*D334)</f>
        <v>6240000</v>
      </c>
    </row>
    <row r="335" spans="1:5">
      <c r="A335" s="103">
        <v>10</v>
      </c>
      <c r="B335" s="104"/>
      <c r="C335" s="74" t="s">
        <v>69</v>
      </c>
      <c r="D335" s="75">
        <f>140*200*20*1300/1000</f>
        <v>728000</v>
      </c>
      <c r="E335" s="96">
        <f t="shared" si="24"/>
        <v>7280000</v>
      </c>
    </row>
    <row r="336" spans="1:5">
      <c r="A336" s="103">
        <v>10</v>
      </c>
      <c r="B336" s="104"/>
      <c r="C336" s="110" t="s">
        <v>70</v>
      </c>
      <c r="D336" s="75">
        <f>150*200*20*1300/1000</f>
        <v>780000</v>
      </c>
      <c r="E336" s="96">
        <f t="shared" si="24"/>
        <v>7800000</v>
      </c>
    </row>
    <row r="337" spans="1:5">
      <c r="A337" s="103">
        <v>10</v>
      </c>
      <c r="B337" s="104"/>
      <c r="C337" s="110" t="s">
        <v>71</v>
      </c>
      <c r="D337" s="75">
        <f>160*200*20*1300/1000</f>
        <v>832000</v>
      </c>
      <c r="E337" s="96">
        <f t="shared" si="24"/>
        <v>8320000</v>
      </c>
    </row>
    <row r="338" spans="1:5">
      <c r="A338" s="103">
        <v>5</v>
      </c>
      <c r="B338" s="104"/>
      <c r="C338" s="110" t="s">
        <v>73</v>
      </c>
      <c r="D338" s="75">
        <f>140*200*30*1300/1000</f>
        <v>1092000</v>
      </c>
      <c r="E338" s="96">
        <f t="shared" si="24"/>
        <v>5460000</v>
      </c>
    </row>
    <row r="339" spans="1:5">
      <c r="A339" s="103">
        <v>5</v>
      </c>
      <c r="B339" s="104">
        <v>14</v>
      </c>
      <c r="C339" s="110" t="e">
        <f t="shared" ref="C339:C344" si="25">IF(B339&lt;1,"-",VLOOKUP(B339,HARGA01,2))</f>
        <v>#REF!</v>
      </c>
      <c r="D339" s="96" t="e">
        <f>IF(B339&lt;1,"-",VLOOKUP(B339,HARGA01,3))</f>
        <v>#REF!</v>
      </c>
      <c r="E339" s="96" t="e">
        <f t="shared" si="24"/>
        <v>#REF!</v>
      </c>
    </row>
    <row r="340" spans="1:5">
      <c r="A340" s="108">
        <v>10</v>
      </c>
      <c r="B340" s="109"/>
      <c r="C340" s="110" t="s">
        <v>65</v>
      </c>
      <c r="D340" s="96">
        <v>17000</v>
      </c>
      <c r="E340" s="96">
        <f t="shared" si="24"/>
        <v>170000</v>
      </c>
    </row>
    <row r="341" spans="1:5">
      <c r="A341" s="103">
        <v>10</v>
      </c>
      <c r="B341" s="104"/>
      <c r="C341" s="110" t="s">
        <v>74</v>
      </c>
      <c r="D341" s="96">
        <v>27000</v>
      </c>
      <c r="E341" s="96">
        <f t="shared" si="24"/>
        <v>270000</v>
      </c>
    </row>
    <row r="342" spans="1:5">
      <c r="A342" s="111">
        <v>5</v>
      </c>
      <c r="B342" s="106"/>
      <c r="C342" s="74" t="s">
        <v>67</v>
      </c>
      <c r="D342" s="75">
        <v>190000</v>
      </c>
      <c r="E342" s="96">
        <f t="shared" si="24"/>
        <v>950000</v>
      </c>
    </row>
    <row r="343" spans="1:5">
      <c r="A343" s="90"/>
      <c r="B343" s="91"/>
      <c r="C343" s="88" t="str">
        <f t="shared" si="25"/>
        <v>-</v>
      </c>
      <c r="D343" s="96" t="str">
        <f>IF(B343&lt;1,"-",VLOOKUP(B343,HARGA01,3))</f>
        <v>-</v>
      </c>
      <c r="E343" s="96" t="str">
        <f t="shared" si="24"/>
        <v>-</v>
      </c>
    </row>
    <row r="344" spans="1:5">
      <c r="A344" s="90"/>
      <c r="B344" s="91"/>
      <c r="C344" s="88" t="str">
        <f t="shared" si="25"/>
        <v>-</v>
      </c>
      <c r="D344" s="96" t="str">
        <f>IF(B344&lt;1,"-",VLOOKUP(B344,HARGA01,3))</f>
        <v>-</v>
      </c>
      <c r="E344" s="96" t="str">
        <f t="shared" si="24"/>
        <v>-</v>
      </c>
    </row>
    <row r="345" spans="1:5">
      <c r="A345" s="634" t="s">
        <v>23</v>
      </c>
      <c r="B345" s="635"/>
      <c r="C345" s="634"/>
      <c r="D345" s="636"/>
      <c r="E345" s="96" t="e">
        <f>SUM(E334:E344)</f>
        <v>#REF!</v>
      </c>
    </row>
    <row r="346" spans="1:5">
      <c r="A346" s="28" t="s">
        <v>24</v>
      </c>
      <c r="B346" s="28"/>
      <c r="D346" s="637" t="s">
        <v>25</v>
      </c>
      <c r="E346" s="637"/>
    </row>
    <row r="349" spans="1:5">
      <c r="D349" s="94" t="s">
        <v>27</v>
      </c>
      <c r="E349" s="25"/>
    </row>
    <row r="350" spans="1:5" ht="27">
      <c r="A350" s="2" t="s">
        <v>0</v>
      </c>
      <c r="B350" s="2"/>
    </row>
    <row r="351" spans="1:5">
      <c r="A351" t="s">
        <v>1</v>
      </c>
      <c r="C351" t="s">
        <v>2</v>
      </c>
      <c r="D351" t="s">
        <v>3</v>
      </c>
      <c r="E351" s="85">
        <v>43987</v>
      </c>
    </row>
    <row r="352" spans="1:5">
      <c r="C352" t="s">
        <v>4</v>
      </c>
      <c r="D352" t="s">
        <v>5</v>
      </c>
      <c r="E352" t="s">
        <v>48</v>
      </c>
    </row>
    <row r="353" spans="1:5">
      <c r="C353" t="s">
        <v>7</v>
      </c>
      <c r="D353" s="86"/>
      <c r="E353" s="86" t="s">
        <v>49</v>
      </c>
    </row>
    <row r="354" spans="1:5">
      <c r="A354" t="s">
        <v>8</v>
      </c>
      <c r="C354" s="87" t="s">
        <v>9</v>
      </c>
      <c r="D354" t="s">
        <v>10</v>
      </c>
      <c r="E354" s="114" t="s">
        <v>11</v>
      </c>
    </row>
    <row r="355" spans="1:5">
      <c r="A355" t="s">
        <v>12</v>
      </c>
      <c r="C355" t="s">
        <v>13</v>
      </c>
      <c r="D355" t="s">
        <v>14</v>
      </c>
      <c r="E355" t="s">
        <v>11</v>
      </c>
    </row>
    <row r="356" spans="1:5">
      <c r="A356" s="88" t="s">
        <v>15</v>
      </c>
      <c r="B356" s="89"/>
      <c r="C356" s="98" t="s">
        <v>16</v>
      </c>
      <c r="D356" s="95" t="s">
        <v>17</v>
      </c>
      <c r="E356" s="95" t="s">
        <v>18</v>
      </c>
    </row>
    <row r="357" spans="1:5">
      <c r="A357" s="100">
        <v>15</v>
      </c>
      <c r="B357" s="101"/>
      <c r="C357" s="74" t="s">
        <v>75</v>
      </c>
      <c r="D357" s="75">
        <v>240000</v>
      </c>
      <c r="E357" s="96">
        <f t="shared" ref="E357:E367" si="26">IF(D357="-","-",A357*D357)</f>
        <v>3600000</v>
      </c>
    </row>
    <row r="358" spans="1:5">
      <c r="A358" s="103">
        <v>6</v>
      </c>
      <c r="B358" s="104"/>
      <c r="C358" s="74" t="s">
        <v>76</v>
      </c>
      <c r="D358" s="75">
        <v>260000</v>
      </c>
      <c r="E358" s="96">
        <f t="shared" si="26"/>
        <v>1560000</v>
      </c>
    </row>
    <row r="359" spans="1:5">
      <c r="A359" s="103">
        <v>10</v>
      </c>
      <c r="B359" s="104"/>
      <c r="C359" s="110" t="s">
        <v>77</v>
      </c>
      <c r="D359" s="75">
        <v>210000</v>
      </c>
      <c r="E359" s="96">
        <f t="shared" si="26"/>
        <v>2100000</v>
      </c>
    </row>
    <row r="360" spans="1:5">
      <c r="A360" s="103">
        <v>10</v>
      </c>
      <c r="B360" s="104"/>
      <c r="C360" s="110" t="s">
        <v>78</v>
      </c>
      <c r="D360" s="75">
        <v>92000</v>
      </c>
      <c r="E360" s="96">
        <f t="shared" si="26"/>
        <v>920000</v>
      </c>
    </row>
    <row r="361" spans="1:5">
      <c r="A361" s="103">
        <v>10</v>
      </c>
      <c r="B361" s="104"/>
      <c r="C361" s="110" t="s">
        <v>79</v>
      </c>
      <c r="D361" s="75">
        <v>103000</v>
      </c>
      <c r="E361" s="96">
        <f t="shared" si="26"/>
        <v>1030000</v>
      </c>
    </row>
    <row r="362" spans="1:5">
      <c r="A362" s="103"/>
      <c r="B362" s="104">
        <v>14</v>
      </c>
      <c r="C362" s="110"/>
      <c r="D362" s="96"/>
      <c r="E362" s="96">
        <f t="shared" si="26"/>
        <v>0</v>
      </c>
    </row>
    <row r="363" spans="1:5">
      <c r="A363" s="108"/>
      <c r="B363" s="109"/>
      <c r="C363" s="110"/>
      <c r="D363" s="96"/>
      <c r="E363" s="96">
        <f t="shared" si="26"/>
        <v>0</v>
      </c>
    </row>
    <row r="364" spans="1:5">
      <c r="A364" s="103"/>
      <c r="B364" s="104"/>
      <c r="C364" s="110"/>
      <c r="D364" s="96"/>
      <c r="E364" s="96">
        <f t="shared" si="26"/>
        <v>0</v>
      </c>
    </row>
    <row r="365" spans="1:5">
      <c r="A365" s="111"/>
      <c r="B365" s="106"/>
      <c r="C365" s="74"/>
      <c r="D365" s="75"/>
      <c r="E365" s="96">
        <f t="shared" si="26"/>
        <v>0</v>
      </c>
    </row>
    <row r="366" spans="1:5">
      <c r="A366" s="90"/>
      <c r="B366" s="91"/>
      <c r="C366" s="88" t="str">
        <f>IF(B366&lt;1,"-",VLOOKUP(B366,HARGA01,2))</f>
        <v>-</v>
      </c>
      <c r="D366" s="96" t="str">
        <f>IF(B366&lt;1,"-",VLOOKUP(B366,HARGA01,3))</f>
        <v>-</v>
      </c>
      <c r="E366" s="96" t="str">
        <f t="shared" si="26"/>
        <v>-</v>
      </c>
    </row>
    <row r="367" spans="1:5">
      <c r="A367" s="90"/>
      <c r="B367" s="91"/>
      <c r="C367" s="88" t="str">
        <f>IF(B367&lt;1,"-",VLOOKUP(B367,HARGA01,2))</f>
        <v>-</v>
      </c>
      <c r="D367" s="96" t="str">
        <f>IF(B367&lt;1,"-",VLOOKUP(B367,HARGA01,3))</f>
        <v>-</v>
      </c>
      <c r="E367" s="96" t="str">
        <f t="shared" si="26"/>
        <v>-</v>
      </c>
    </row>
    <row r="368" spans="1:5">
      <c r="A368" s="634" t="s">
        <v>23</v>
      </c>
      <c r="B368" s="635"/>
      <c r="C368" s="634"/>
      <c r="D368" s="636"/>
      <c r="E368" s="96">
        <f>SUM(E357:E367)</f>
        <v>9210000</v>
      </c>
    </row>
    <row r="369" spans="1:5">
      <c r="A369" s="28" t="s">
        <v>24</v>
      </c>
      <c r="B369" s="28"/>
      <c r="D369" s="637" t="s">
        <v>25</v>
      </c>
      <c r="E369" s="637"/>
    </row>
    <row r="372" spans="1:5">
      <c r="D372" s="94" t="s">
        <v>27</v>
      </c>
      <c r="E372" s="25"/>
    </row>
    <row r="373" spans="1:5" ht="27">
      <c r="A373" s="2" t="s">
        <v>0</v>
      </c>
      <c r="B373" s="2"/>
    </row>
    <row r="374" spans="1:5">
      <c r="A374" t="s">
        <v>1</v>
      </c>
      <c r="C374" t="s">
        <v>2</v>
      </c>
      <c r="D374" t="s">
        <v>3</v>
      </c>
      <c r="E374" s="85">
        <v>43987</v>
      </c>
    </row>
    <row r="375" spans="1:5">
      <c r="C375" t="s">
        <v>4</v>
      </c>
      <c r="D375" t="s">
        <v>5</v>
      </c>
      <c r="E375" t="s">
        <v>48</v>
      </c>
    </row>
    <row r="376" spans="1:5">
      <c r="C376" t="s">
        <v>7</v>
      </c>
      <c r="D376" s="86"/>
      <c r="E376" s="86" t="s">
        <v>49</v>
      </c>
    </row>
    <row r="377" spans="1:5">
      <c r="A377" t="s">
        <v>8</v>
      </c>
      <c r="C377" s="87" t="s">
        <v>9</v>
      </c>
      <c r="D377" t="s">
        <v>10</v>
      </c>
      <c r="E377" s="114" t="s">
        <v>11</v>
      </c>
    </row>
    <row r="378" spans="1:5">
      <c r="A378" t="s">
        <v>12</v>
      </c>
      <c r="C378" t="s">
        <v>13</v>
      </c>
      <c r="D378" t="s">
        <v>14</v>
      </c>
      <c r="E378" t="s">
        <v>11</v>
      </c>
    </row>
    <row r="379" spans="1:5">
      <c r="A379" s="88" t="s">
        <v>15</v>
      </c>
      <c r="B379" s="89"/>
      <c r="C379" s="98" t="s">
        <v>16</v>
      </c>
      <c r="D379" s="95" t="s">
        <v>17</v>
      </c>
      <c r="E379" s="95" t="s">
        <v>18</v>
      </c>
    </row>
    <row r="380" spans="1:5">
      <c r="A380" s="100">
        <v>15</v>
      </c>
      <c r="B380" s="101"/>
      <c r="C380" s="74" t="s">
        <v>75</v>
      </c>
      <c r="D380" s="75">
        <v>240000</v>
      </c>
      <c r="E380" s="96">
        <f t="shared" ref="E380:E390" si="27">IF(D380="-","-",A380*D380)</f>
        <v>3600000</v>
      </c>
    </row>
    <row r="381" spans="1:5">
      <c r="A381" s="103">
        <v>6</v>
      </c>
      <c r="B381" s="104"/>
      <c r="C381" s="74" t="s">
        <v>76</v>
      </c>
      <c r="D381" s="75">
        <v>260000</v>
      </c>
      <c r="E381" s="96">
        <f t="shared" si="27"/>
        <v>1560000</v>
      </c>
    </row>
    <row r="382" spans="1:5">
      <c r="A382" s="103">
        <v>10</v>
      </c>
      <c r="B382" s="104"/>
      <c r="C382" s="110" t="s">
        <v>77</v>
      </c>
      <c r="D382" s="75">
        <v>210000</v>
      </c>
      <c r="E382" s="96">
        <f t="shared" si="27"/>
        <v>2100000</v>
      </c>
    </row>
    <row r="383" spans="1:5">
      <c r="A383" s="103">
        <v>10</v>
      </c>
      <c r="B383" s="104"/>
      <c r="C383" s="110" t="s">
        <v>78</v>
      </c>
      <c r="D383" s="75">
        <v>92000</v>
      </c>
      <c r="E383" s="96">
        <f t="shared" si="27"/>
        <v>920000</v>
      </c>
    </row>
    <row r="384" spans="1:5">
      <c r="A384" s="103">
        <v>10</v>
      </c>
      <c r="B384" s="104"/>
      <c r="C384" s="110" t="s">
        <v>79</v>
      </c>
      <c r="D384" s="75">
        <v>103000</v>
      </c>
      <c r="E384" s="96">
        <f t="shared" si="27"/>
        <v>1030000</v>
      </c>
    </row>
    <row r="385" spans="1:5">
      <c r="A385" s="103"/>
      <c r="B385" s="104">
        <v>14</v>
      </c>
      <c r="C385" s="110"/>
      <c r="D385" s="96"/>
      <c r="E385" s="96">
        <f t="shared" si="27"/>
        <v>0</v>
      </c>
    </row>
    <row r="386" spans="1:5">
      <c r="A386" s="108"/>
      <c r="B386" s="109"/>
      <c r="C386" s="110"/>
      <c r="D386" s="96"/>
      <c r="E386" s="96">
        <f t="shared" si="27"/>
        <v>0</v>
      </c>
    </row>
    <row r="387" spans="1:5">
      <c r="A387" s="103"/>
      <c r="B387" s="104"/>
      <c r="C387" s="110"/>
      <c r="D387" s="96"/>
      <c r="E387" s="96">
        <f t="shared" si="27"/>
        <v>0</v>
      </c>
    </row>
    <row r="388" spans="1:5">
      <c r="A388" s="111"/>
      <c r="B388" s="106"/>
      <c r="C388" s="74"/>
      <c r="D388" s="75"/>
      <c r="E388" s="96">
        <f t="shared" si="27"/>
        <v>0</v>
      </c>
    </row>
    <row r="389" spans="1:5">
      <c r="A389" s="90"/>
      <c r="B389" s="91"/>
      <c r="C389" s="88" t="str">
        <f>IF(B389&lt;1,"-",VLOOKUP(B389,HARGA01,2))</f>
        <v>-</v>
      </c>
      <c r="D389" s="96" t="str">
        <f>IF(B389&lt;1,"-",VLOOKUP(B389,HARGA01,3))</f>
        <v>-</v>
      </c>
      <c r="E389" s="96" t="str">
        <f t="shared" si="27"/>
        <v>-</v>
      </c>
    </row>
    <row r="390" spans="1:5">
      <c r="A390" s="90"/>
      <c r="B390" s="91"/>
      <c r="C390" s="88" t="str">
        <f>IF(B390&lt;1,"-",VLOOKUP(B390,HARGA01,2))</f>
        <v>-</v>
      </c>
      <c r="D390" s="96" t="str">
        <f>IF(B390&lt;1,"-",VLOOKUP(B390,HARGA01,3))</f>
        <v>-</v>
      </c>
      <c r="E390" s="96" t="str">
        <f t="shared" si="27"/>
        <v>-</v>
      </c>
    </row>
    <row r="391" spans="1:5">
      <c r="A391" s="634" t="s">
        <v>23</v>
      </c>
      <c r="B391" s="635"/>
      <c r="C391" s="634"/>
      <c r="D391" s="636"/>
      <c r="E391" s="96">
        <f>SUM(E380:E390)</f>
        <v>9210000</v>
      </c>
    </row>
    <row r="392" spans="1:5">
      <c r="A392" s="28" t="s">
        <v>24</v>
      </c>
      <c r="B392" s="28"/>
      <c r="D392" s="637" t="s">
        <v>25</v>
      </c>
      <c r="E392" s="637"/>
    </row>
    <row r="395" spans="1:5">
      <c r="D395" s="94" t="s">
        <v>27</v>
      </c>
      <c r="E395" s="25"/>
    </row>
    <row r="396" spans="1:5" ht="27">
      <c r="A396" s="2" t="s">
        <v>0</v>
      </c>
      <c r="B396" s="2"/>
    </row>
    <row r="397" spans="1:5">
      <c r="A397" t="s">
        <v>1</v>
      </c>
      <c r="C397" t="s">
        <v>2</v>
      </c>
      <c r="D397" t="s">
        <v>3</v>
      </c>
      <c r="E397" s="85">
        <v>44050</v>
      </c>
    </row>
    <row r="398" spans="1:5">
      <c r="C398" t="s">
        <v>4</v>
      </c>
      <c r="D398" t="s">
        <v>5</v>
      </c>
      <c r="E398" t="s">
        <v>48</v>
      </c>
    </row>
    <row r="399" spans="1:5">
      <c r="C399" t="s">
        <v>7</v>
      </c>
      <c r="D399" s="86"/>
      <c r="E399" s="86" t="s">
        <v>49</v>
      </c>
    </row>
    <row r="400" spans="1:5">
      <c r="A400" t="s">
        <v>8</v>
      </c>
      <c r="C400" s="87" t="s">
        <v>9</v>
      </c>
      <c r="D400" t="s">
        <v>10</v>
      </c>
      <c r="E400" s="114" t="s">
        <v>11</v>
      </c>
    </row>
    <row r="401" spans="1:5">
      <c r="A401" t="s">
        <v>12</v>
      </c>
      <c r="C401" t="s">
        <v>13</v>
      </c>
      <c r="D401" t="s">
        <v>14</v>
      </c>
      <c r="E401" t="s">
        <v>11</v>
      </c>
    </row>
    <row r="402" spans="1:5">
      <c r="A402" s="88" t="s">
        <v>15</v>
      </c>
      <c r="B402" s="89"/>
      <c r="C402" s="98" t="s">
        <v>16</v>
      </c>
      <c r="D402" s="95" t="s">
        <v>17</v>
      </c>
      <c r="E402" s="95" t="s">
        <v>18</v>
      </c>
    </row>
    <row r="403" spans="1:5">
      <c r="A403" s="100">
        <v>10</v>
      </c>
      <c r="B403" s="101"/>
      <c r="C403" s="74" t="s">
        <v>80</v>
      </c>
      <c r="D403" s="75">
        <v>210000</v>
      </c>
      <c r="E403" s="96">
        <f t="shared" ref="E403:E409" si="28">IF(D403="-","-",A403*D403)</f>
        <v>2100000</v>
      </c>
    </row>
    <row r="404" spans="1:5">
      <c r="A404" s="103"/>
      <c r="B404" s="104"/>
      <c r="C404" s="74"/>
      <c r="D404" s="75"/>
      <c r="E404" s="96">
        <f t="shared" si="28"/>
        <v>0</v>
      </c>
    </row>
    <row r="405" spans="1:5">
      <c r="A405" s="103"/>
      <c r="B405" s="104"/>
      <c r="C405" s="74"/>
      <c r="D405" s="75"/>
      <c r="E405" s="96">
        <f t="shared" si="28"/>
        <v>0</v>
      </c>
    </row>
    <row r="406" spans="1:5">
      <c r="A406" s="103"/>
      <c r="B406" s="104"/>
      <c r="C406" s="74"/>
      <c r="D406" s="75"/>
      <c r="E406" s="96">
        <f t="shared" si="28"/>
        <v>0</v>
      </c>
    </row>
    <row r="407" spans="1:5">
      <c r="A407" s="103"/>
      <c r="B407" s="104"/>
      <c r="C407" s="74"/>
      <c r="D407" s="75"/>
      <c r="E407" s="96">
        <f t="shared" si="28"/>
        <v>0</v>
      </c>
    </row>
    <row r="408" spans="1:5">
      <c r="A408" s="103"/>
      <c r="B408" s="104">
        <v>14</v>
      </c>
      <c r="C408" s="74"/>
      <c r="D408" s="75"/>
      <c r="E408" s="96">
        <f t="shared" si="28"/>
        <v>0</v>
      </c>
    </row>
    <row r="409" spans="1:5">
      <c r="A409" s="108"/>
      <c r="B409" s="109"/>
      <c r="C409" s="74"/>
      <c r="D409" s="75"/>
      <c r="E409" s="96">
        <f t="shared" si="28"/>
        <v>0</v>
      </c>
    </row>
    <row r="410" spans="1:5">
      <c r="A410" s="103"/>
      <c r="B410" s="104"/>
      <c r="C410" s="74"/>
      <c r="D410" s="75"/>
      <c r="E410" s="96"/>
    </row>
    <row r="411" spans="1:5">
      <c r="A411" s="111"/>
      <c r="B411" s="106"/>
      <c r="C411" s="74"/>
      <c r="D411" s="75"/>
      <c r="E411" s="96"/>
    </row>
    <row r="412" spans="1:5">
      <c r="A412" s="90"/>
      <c r="B412" s="91"/>
      <c r="C412" s="88" t="str">
        <f>IF(B412&lt;1,"-",VLOOKUP(B412,HARGA01,2))</f>
        <v>-</v>
      </c>
      <c r="D412" s="96" t="str">
        <f>IF(B412&lt;1,"-",VLOOKUP(B412,HARGA01,3))</f>
        <v>-</v>
      </c>
      <c r="E412" s="96" t="str">
        <f>IF(D412="-","-",A412*D412)</f>
        <v>-</v>
      </c>
    </row>
    <row r="413" spans="1:5">
      <c r="A413" s="90">
        <f>SUM(A403:A412)</f>
        <v>10</v>
      </c>
      <c r="B413" s="91"/>
      <c r="C413" s="88" t="str">
        <f>IF(B413&lt;1,"-",VLOOKUP(B413,HARGA01,2))</f>
        <v>-</v>
      </c>
      <c r="D413" s="96" t="str">
        <f>IF(B413&lt;1,"-",VLOOKUP(B413,HARGA01,3))</f>
        <v>-</v>
      </c>
      <c r="E413" s="96" t="str">
        <f>IF(D413="-","-",A413*D413)</f>
        <v>-</v>
      </c>
    </row>
    <row r="414" spans="1:5">
      <c r="A414" s="634" t="s">
        <v>23</v>
      </c>
      <c r="B414" s="635"/>
      <c r="C414" s="634"/>
      <c r="D414" s="636"/>
      <c r="E414" s="96">
        <f>SUM(E403:E413)</f>
        <v>2100000</v>
      </c>
    </row>
    <row r="415" spans="1:5">
      <c r="A415" s="28" t="s">
        <v>24</v>
      </c>
      <c r="B415" s="28"/>
      <c r="D415" s="637" t="s">
        <v>25</v>
      </c>
      <c r="E415" s="637"/>
    </row>
    <row r="418" spans="1:9">
      <c r="D418" s="94" t="s">
        <v>27</v>
      </c>
      <c r="E418" s="25"/>
    </row>
    <row r="419" spans="1:9" ht="27">
      <c r="A419" s="2" t="s">
        <v>0</v>
      </c>
      <c r="B419" s="2"/>
    </row>
    <row r="420" spans="1:9">
      <c r="A420" t="s">
        <v>1</v>
      </c>
      <c r="C420" t="s">
        <v>2</v>
      </c>
      <c r="H420" t="s">
        <v>3</v>
      </c>
      <c r="I420" s="85">
        <v>44029</v>
      </c>
    </row>
    <row r="421" spans="1:9">
      <c r="C421" t="s">
        <v>4</v>
      </c>
      <c r="H421" t="s">
        <v>5</v>
      </c>
      <c r="I421" t="s">
        <v>48</v>
      </c>
    </row>
    <row r="422" spans="1:9">
      <c r="C422" t="s">
        <v>7</v>
      </c>
      <c r="H422" s="86"/>
      <c r="I422" s="86" t="s">
        <v>49</v>
      </c>
    </row>
    <row r="423" spans="1:9">
      <c r="A423" t="s">
        <v>8</v>
      </c>
      <c r="C423" s="87" t="s">
        <v>9</v>
      </c>
      <c r="D423" s="87"/>
      <c r="E423" s="87"/>
      <c r="F423" s="87"/>
      <c r="G423" s="87"/>
      <c r="H423" t="s">
        <v>10</v>
      </c>
      <c r="I423" s="114" t="s">
        <v>11</v>
      </c>
    </row>
    <row r="424" spans="1:9">
      <c r="A424" t="s">
        <v>12</v>
      </c>
      <c r="C424" t="s">
        <v>13</v>
      </c>
      <c r="H424" t="s">
        <v>14</v>
      </c>
      <c r="I424" t="s">
        <v>11</v>
      </c>
    </row>
    <row r="425" spans="1:9">
      <c r="A425" s="88" t="s">
        <v>15</v>
      </c>
      <c r="B425" s="89"/>
      <c r="C425" s="74" t="s">
        <v>16</v>
      </c>
      <c r="D425" s="74" t="s">
        <v>81</v>
      </c>
      <c r="E425" s="74" t="s">
        <v>82</v>
      </c>
      <c r="F425" s="74" t="s">
        <v>83</v>
      </c>
      <c r="G425" s="74" t="s">
        <v>84</v>
      </c>
      <c r="H425" s="95" t="s">
        <v>85</v>
      </c>
      <c r="I425" s="95" t="s">
        <v>18</v>
      </c>
    </row>
    <row r="426" spans="1:9">
      <c r="A426" s="90">
        <v>10</v>
      </c>
      <c r="B426" s="91" t="s">
        <v>62</v>
      </c>
      <c r="C426" s="74" t="s">
        <v>86</v>
      </c>
      <c r="D426" s="74" t="s">
        <v>11</v>
      </c>
      <c r="E426" s="74" t="s">
        <v>11</v>
      </c>
      <c r="F426" s="74" t="s">
        <v>11</v>
      </c>
      <c r="G426" s="74" t="s">
        <v>11</v>
      </c>
      <c r="H426" s="75">
        <v>27000</v>
      </c>
      <c r="I426" s="96">
        <f t="shared" ref="I426:I433" si="29">IF(H426="-","-",A426*H426)</f>
        <v>270000</v>
      </c>
    </row>
    <row r="427" spans="1:9">
      <c r="A427" s="90">
        <v>5</v>
      </c>
      <c r="B427" s="91"/>
      <c r="C427" s="74" t="s">
        <v>87</v>
      </c>
      <c r="D427" s="112">
        <v>200</v>
      </c>
      <c r="E427" s="112">
        <v>100</v>
      </c>
      <c r="F427" s="112">
        <v>15</v>
      </c>
      <c r="G427" s="74">
        <v>1300</v>
      </c>
      <c r="H427" s="75">
        <f>D427*E427*F427*G427/1000</f>
        <v>390000</v>
      </c>
      <c r="I427" s="96">
        <f t="shared" si="29"/>
        <v>1950000</v>
      </c>
    </row>
    <row r="428" spans="1:9">
      <c r="A428" s="90">
        <v>5</v>
      </c>
      <c r="B428" s="91"/>
      <c r="C428" s="74" t="s">
        <v>88</v>
      </c>
      <c r="D428" s="112">
        <v>200</v>
      </c>
      <c r="E428" s="112">
        <v>150</v>
      </c>
      <c r="F428" s="112">
        <v>15</v>
      </c>
      <c r="G428" s="74">
        <v>1300</v>
      </c>
      <c r="H428" s="75">
        <f t="shared" ref="H428:H433" si="30">D428*E428*F428*G428/1000</f>
        <v>585000</v>
      </c>
      <c r="I428" s="96">
        <f t="shared" si="29"/>
        <v>2925000</v>
      </c>
    </row>
    <row r="429" spans="1:9">
      <c r="A429" s="90">
        <v>5</v>
      </c>
      <c r="B429" s="91"/>
      <c r="C429" s="74" t="s">
        <v>89</v>
      </c>
      <c r="D429" s="112">
        <v>200</v>
      </c>
      <c r="E429" s="112">
        <v>100</v>
      </c>
      <c r="F429" s="112">
        <v>20</v>
      </c>
      <c r="G429" s="74">
        <v>1300</v>
      </c>
      <c r="H429" s="75">
        <f t="shared" si="30"/>
        <v>520000</v>
      </c>
      <c r="I429" s="96">
        <f t="shared" si="29"/>
        <v>2600000</v>
      </c>
    </row>
    <row r="430" spans="1:9">
      <c r="A430" s="90">
        <v>10</v>
      </c>
      <c r="B430" s="91"/>
      <c r="C430" s="74" t="s">
        <v>90</v>
      </c>
      <c r="D430" s="112">
        <v>200</v>
      </c>
      <c r="E430" s="112">
        <v>150</v>
      </c>
      <c r="F430" s="112">
        <v>20</v>
      </c>
      <c r="G430" s="74">
        <v>1300</v>
      </c>
      <c r="H430" s="75">
        <f t="shared" si="30"/>
        <v>780000</v>
      </c>
      <c r="I430" s="96">
        <f t="shared" si="29"/>
        <v>7800000</v>
      </c>
    </row>
    <row r="431" spans="1:9">
      <c r="A431" s="90">
        <v>8</v>
      </c>
      <c r="B431" s="91"/>
      <c r="C431" s="74" t="s">
        <v>91</v>
      </c>
      <c r="D431" s="112">
        <v>200</v>
      </c>
      <c r="E431" s="112">
        <v>180</v>
      </c>
      <c r="F431" s="112">
        <v>20</v>
      </c>
      <c r="G431" s="74">
        <v>1300</v>
      </c>
      <c r="H431" s="75">
        <f t="shared" si="30"/>
        <v>936000</v>
      </c>
      <c r="I431" s="96">
        <f t="shared" si="29"/>
        <v>7488000</v>
      </c>
    </row>
    <row r="432" spans="1:9">
      <c r="A432" s="90">
        <v>1</v>
      </c>
      <c r="B432" s="91"/>
      <c r="C432" s="74" t="s">
        <v>92</v>
      </c>
      <c r="D432" s="112">
        <v>200</v>
      </c>
      <c r="E432" s="112">
        <v>200</v>
      </c>
      <c r="F432" s="112">
        <v>20</v>
      </c>
      <c r="G432" s="74">
        <v>1300</v>
      </c>
      <c r="H432" s="75">
        <f t="shared" si="30"/>
        <v>1040000</v>
      </c>
      <c r="I432" s="96">
        <f t="shared" si="29"/>
        <v>1040000</v>
      </c>
    </row>
    <row r="433" spans="1:9">
      <c r="A433" s="90">
        <v>43</v>
      </c>
      <c r="B433" s="91"/>
      <c r="C433" s="74" t="s">
        <v>93</v>
      </c>
      <c r="D433" s="112">
        <v>180</v>
      </c>
      <c r="E433" s="112">
        <v>90</v>
      </c>
      <c r="F433" s="112">
        <v>5</v>
      </c>
      <c r="G433" s="74">
        <v>800</v>
      </c>
      <c r="H433" s="75">
        <f t="shared" si="30"/>
        <v>64800</v>
      </c>
      <c r="I433" s="96">
        <f t="shared" si="29"/>
        <v>2786400</v>
      </c>
    </row>
    <row r="434" spans="1:9">
      <c r="A434" s="111"/>
      <c r="B434" s="106"/>
      <c r="C434" s="74"/>
      <c r="D434" s="74"/>
      <c r="E434" s="74"/>
      <c r="F434" s="74"/>
      <c r="G434" s="74"/>
      <c r="H434" s="75"/>
      <c r="I434" s="96"/>
    </row>
    <row r="435" spans="1:9">
      <c r="A435" s="90"/>
      <c r="B435" s="91"/>
      <c r="C435" s="74" t="str">
        <f>IF(B435&lt;1,"-",VLOOKUP(B435,HARGA01,2))</f>
        <v>-</v>
      </c>
      <c r="D435" s="74"/>
      <c r="E435" s="74"/>
      <c r="F435" s="74"/>
      <c r="G435" s="74"/>
      <c r="H435" s="96" t="str">
        <f>IF(B435&lt;1,"-",VLOOKUP(B435,HARGA01,3))</f>
        <v>-</v>
      </c>
      <c r="I435" s="96" t="str">
        <f>IF(H435="-","-",A435*H435)</f>
        <v>-</v>
      </c>
    </row>
    <row r="436" spans="1:9">
      <c r="A436" s="90">
        <f>SUM(A426:A435)</f>
        <v>87</v>
      </c>
      <c r="B436" s="91"/>
      <c r="C436" s="74" t="str">
        <f>IF(B436&lt;1,"-",VLOOKUP(B436,HARGA01,2))</f>
        <v>-</v>
      </c>
      <c r="D436" s="74"/>
      <c r="E436" s="74"/>
      <c r="F436" s="74"/>
      <c r="G436" s="74"/>
      <c r="H436" s="96" t="str">
        <f>IF(B436&lt;1,"-",VLOOKUP(B436,HARGA01,3))</f>
        <v>-</v>
      </c>
      <c r="I436" s="96" t="str">
        <f>IF(H436="-","-",A436*H436)</f>
        <v>-</v>
      </c>
    </row>
    <row r="437" spans="1:9">
      <c r="A437" s="634" t="s">
        <v>23</v>
      </c>
      <c r="B437" s="635"/>
      <c r="C437" s="634"/>
      <c r="D437" s="634"/>
      <c r="E437" s="634"/>
      <c r="F437" s="634"/>
      <c r="G437" s="634"/>
      <c r="H437" s="636"/>
      <c r="I437" s="96">
        <f>SUM(I426:I436)</f>
        <v>26859400</v>
      </c>
    </row>
    <row r="438" spans="1:9">
      <c r="A438" s="28" t="s">
        <v>24</v>
      </c>
      <c r="B438" s="28"/>
      <c r="H438" s="637" t="s">
        <v>25</v>
      </c>
      <c r="I438" s="637"/>
    </row>
    <row r="439" spans="1:9" ht="27">
      <c r="A439" s="2" t="s">
        <v>0</v>
      </c>
      <c r="B439" s="2"/>
    </row>
    <row r="440" spans="1:9">
      <c r="A440" t="s">
        <v>1</v>
      </c>
      <c r="C440" t="s">
        <v>2</v>
      </c>
      <c r="H440" t="s">
        <v>3</v>
      </c>
      <c r="I440" s="85">
        <v>44041</v>
      </c>
    </row>
    <row r="441" spans="1:9">
      <c r="C441" t="s">
        <v>4</v>
      </c>
      <c r="H441" t="s">
        <v>5</v>
      </c>
      <c r="I441" t="s">
        <v>48</v>
      </c>
    </row>
    <row r="442" spans="1:9">
      <c r="C442" t="s">
        <v>7</v>
      </c>
      <c r="H442" s="86"/>
      <c r="I442" s="86" t="s">
        <v>49</v>
      </c>
    </row>
    <row r="443" spans="1:9">
      <c r="A443" t="s">
        <v>8</v>
      </c>
      <c r="C443" s="87" t="s">
        <v>9</v>
      </c>
      <c r="D443" s="87"/>
      <c r="E443" s="87"/>
      <c r="F443" s="87"/>
      <c r="G443" s="87"/>
      <c r="H443" t="s">
        <v>10</v>
      </c>
      <c r="I443" s="114" t="s">
        <v>11</v>
      </c>
    </row>
    <row r="444" spans="1:9">
      <c r="A444" t="s">
        <v>12</v>
      </c>
      <c r="C444" t="s">
        <v>13</v>
      </c>
      <c r="H444" t="s">
        <v>14</v>
      </c>
      <c r="I444" t="s">
        <v>11</v>
      </c>
    </row>
    <row r="445" spans="1:9">
      <c r="A445" s="88" t="s">
        <v>15</v>
      </c>
      <c r="B445" s="89"/>
      <c r="C445" s="74" t="s">
        <v>16</v>
      </c>
      <c r="D445" s="74" t="s">
        <v>81</v>
      </c>
      <c r="E445" s="74" t="s">
        <v>82</v>
      </c>
      <c r="F445" s="74" t="s">
        <v>83</v>
      </c>
      <c r="G445" s="74" t="s">
        <v>84</v>
      </c>
      <c r="H445" s="95" t="s">
        <v>85</v>
      </c>
      <c r="I445" s="95" t="s">
        <v>18</v>
      </c>
    </row>
    <row r="446" spans="1:9">
      <c r="A446" s="90">
        <v>5</v>
      </c>
      <c r="B446" s="91" t="s">
        <v>62</v>
      </c>
      <c r="C446" s="89" t="s">
        <v>89</v>
      </c>
      <c r="D446" s="112">
        <v>200</v>
      </c>
      <c r="E446" s="112">
        <v>100</v>
      </c>
      <c r="F446" s="112">
        <v>20</v>
      </c>
      <c r="G446" s="74">
        <v>1300</v>
      </c>
      <c r="H446" s="75">
        <f>D446*E446*F446*G446/1000</f>
        <v>520000</v>
      </c>
      <c r="I446" s="96">
        <f t="shared" ref="I446:I453" si="31">IF(H446="-","-",A446*H446)</f>
        <v>2600000</v>
      </c>
    </row>
    <row r="447" spans="1:9">
      <c r="A447" s="90">
        <v>10</v>
      </c>
      <c r="B447" s="91"/>
      <c r="C447" s="89" t="s">
        <v>94</v>
      </c>
      <c r="D447" s="112">
        <v>200</v>
      </c>
      <c r="E447" s="112">
        <v>120</v>
      </c>
      <c r="F447" s="112">
        <v>20</v>
      </c>
      <c r="G447" s="74">
        <v>1300</v>
      </c>
      <c r="H447" s="75">
        <f>D447*E447*F447*G447/1000</f>
        <v>624000</v>
      </c>
      <c r="I447" s="96">
        <f t="shared" si="31"/>
        <v>6240000</v>
      </c>
    </row>
    <row r="448" spans="1:9">
      <c r="A448" s="90"/>
      <c r="B448" s="91"/>
      <c r="C448" s="74"/>
      <c r="D448" s="112"/>
      <c r="E448" s="112"/>
      <c r="F448" s="112"/>
      <c r="G448" s="74"/>
      <c r="H448" s="75">
        <f t="shared" ref="H448:H453" si="32">D448*E448*F448*G448/1000</f>
        <v>0</v>
      </c>
      <c r="I448" s="96">
        <f t="shared" si="31"/>
        <v>0</v>
      </c>
    </row>
    <row r="449" spans="1:9">
      <c r="A449" s="90"/>
      <c r="B449" s="91"/>
      <c r="C449" s="74"/>
      <c r="D449" s="112"/>
      <c r="E449" s="112"/>
      <c r="F449" s="112"/>
      <c r="G449" s="74"/>
      <c r="H449" s="75">
        <f t="shared" si="32"/>
        <v>0</v>
      </c>
      <c r="I449" s="96">
        <f t="shared" si="31"/>
        <v>0</v>
      </c>
    </row>
    <row r="450" spans="1:9">
      <c r="A450" s="90"/>
      <c r="B450" s="91"/>
      <c r="C450" s="74"/>
      <c r="D450" s="112"/>
      <c r="E450" s="112"/>
      <c r="F450" s="112"/>
      <c r="G450" s="74"/>
      <c r="H450" s="75">
        <f t="shared" si="32"/>
        <v>0</v>
      </c>
      <c r="I450" s="96">
        <f t="shared" si="31"/>
        <v>0</v>
      </c>
    </row>
    <row r="451" spans="1:9">
      <c r="A451" s="90"/>
      <c r="B451" s="91"/>
      <c r="C451" s="74"/>
      <c r="D451" s="112"/>
      <c r="E451" s="112"/>
      <c r="F451" s="112"/>
      <c r="G451" s="74"/>
      <c r="H451" s="75">
        <f t="shared" si="32"/>
        <v>0</v>
      </c>
      <c r="I451" s="96">
        <f t="shared" si="31"/>
        <v>0</v>
      </c>
    </row>
    <row r="452" spans="1:9">
      <c r="A452" s="90"/>
      <c r="B452" s="91"/>
      <c r="C452" s="74"/>
      <c r="D452" s="112"/>
      <c r="E452" s="112"/>
      <c r="F452" s="112"/>
      <c r="G452" s="74"/>
      <c r="H452" s="75">
        <f t="shared" si="32"/>
        <v>0</v>
      </c>
      <c r="I452" s="96">
        <f t="shared" si="31"/>
        <v>0</v>
      </c>
    </row>
    <row r="453" spans="1:9">
      <c r="A453" s="90"/>
      <c r="B453" s="91"/>
      <c r="C453" s="74"/>
      <c r="D453" s="112"/>
      <c r="E453" s="112"/>
      <c r="F453" s="112"/>
      <c r="G453" s="74"/>
      <c r="H453" s="75">
        <f t="shared" si="32"/>
        <v>0</v>
      </c>
      <c r="I453" s="96">
        <f t="shared" si="31"/>
        <v>0</v>
      </c>
    </row>
    <row r="454" spans="1:9">
      <c r="A454" s="111"/>
      <c r="B454" s="106"/>
      <c r="C454" s="74"/>
      <c r="D454" s="74"/>
      <c r="E454" s="74"/>
      <c r="F454" s="74"/>
      <c r="G454" s="74"/>
      <c r="H454" s="75"/>
      <c r="I454" s="96"/>
    </row>
    <row r="455" spans="1:9">
      <c r="A455" s="90"/>
      <c r="B455" s="91"/>
      <c r="C455" s="74" t="str">
        <f>IF(B455&lt;1,"-",VLOOKUP(B455,HARGA01,2))</f>
        <v>-</v>
      </c>
      <c r="D455" s="74"/>
      <c r="E455" s="74"/>
      <c r="F455" s="74"/>
      <c r="G455" s="74"/>
      <c r="H455" s="96" t="str">
        <f>IF(B455&lt;1,"-",VLOOKUP(B455,HARGA01,3))</f>
        <v>-</v>
      </c>
      <c r="I455" s="96" t="str">
        <f>IF(H455="-","-",A455*H455)</f>
        <v>-</v>
      </c>
    </row>
    <row r="456" spans="1:9">
      <c r="A456" s="90">
        <f>SUM(A446:A455)</f>
        <v>15</v>
      </c>
      <c r="B456" s="91"/>
      <c r="C456" s="74" t="str">
        <f>IF(B456&lt;1,"-",VLOOKUP(B456,HARGA01,2))</f>
        <v>-</v>
      </c>
      <c r="D456" s="74"/>
      <c r="E456" s="74"/>
      <c r="F456" s="74"/>
      <c r="G456" s="74"/>
      <c r="H456" s="96" t="str">
        <f>IF(B456&lt;1,"-",VLOOKUP(B456,HARGA01,3))</f>
        <v>-</v>
      </c>
      <c r="I456" s="96" t="str">
        <f>IF(H456="-","-",A456*H456)</f>
        <v>-</v>
      </c>
    </row>
    <row r="457" spans="1:9">
      <c r="A457" s="634" t="s">
        <v>23</v>
      </c>
      <c r="B457" s="635"/>
      <c r="C457" s="634"/>
      <c r="D457" s="634"/>
      <c r="E457" s="634"/>
      <c r="F457" s="634"/>
      <c r="G457" s="634"/>
      <c r="H457" s="636"/>
      <c r="I457" s="96">
        <f>SUM(I446:I456)</f>
        <v>8840000</v>
      </c>
    </row>
    <row r="458" spans="1:9">
      <c r="A458" s="28" t="s">
        <v>24</v>
      </c>
      <c r="B458" s="28"/>
      <c r="H458" s="637" t="s">
        <v>25</v>
      </c>
      <c r="I458" s="637"/>
    </row>
    <row r="461" spans="1:9">
      <c r="H461" s="94" t="s">
        <v>27</v>
      </c>
      <c r="I461" s="25"/>
    </row>
    <row r="463" spans="1:9" ht="27">
      <c r="A463" s="2" t="s">
        <v>0</v>
      </c>
      <c r="B463" s="2"/>
    </row>
    <row r="464" spans="1:9">
      <c r="A464" t="s">
        <v>1</v>
      </c>
      <c r="C464" t="s">
        <v>2</v>
      </c>
      <c r="H464" t="s">
        <v>3</v>
      </c>
      <c r="I464" s="85">
        <v>44047</v>
      </c>
    </row>
    <row r="465" spans="1:9">
      <c r="C465" t="s">
        <v>4</v>
      </c>
      <c r="H465" t="s">
        <v>5</v>
      </c>
      <c r="I465" t="s">
        <v>48</v>
      </c>
    </row>
    <row r="466" spans="1:9">
      <c r="C466" t="s">
        <v>7</v>
      </c>
      <c r="H466" s="86"/>
      <c r="I466" s="86" t="s">
        <v>49</v>
      </c>
    </row>
    <row r="467" spans="1:9">
      <c r="A467" t="s">
        <v>8</v>
      </c>
      <c r="C467" s="87" t="s">
        <v>9</v>
      </c>
      <c r="D467" s="87"/>
      <c r="E467" s="87"/>
      <c r="F467" s="87"/>
      <c r="G467" s="87"/>
      <c r="H467" t="s">
        <v>10</v>
      </c>
      <c r="I467" s="114" t="s">
        <v>11</v>
      </c>
    </row>
    <row r="468" spans="1:9">
      <c r="A468" t="s">
        <v>12</v>
      </c>
      <c r="C468" t="s">
        <v>13</v>
      </c>
      <c r="H468" t="s">
        <v>14</v>
      </c>
      <c r="I468" t="s">
        <v>11</v>
      </c>
    </row>
    <row r="469" spans="1:9">
      <c r="A469" s="88" t="s">
        <v>15</v>
      </c>
      <c r="B469" s="89"/>
      <c r="C469" s="74" t="s">
        <v>16</v>
      </c>
      <c r="D469" s="74" t="s">
        <v>81</v>
      </c>
      <c r="E469" s="74" t="s">
        <v>82</v>
      </c>
      <c r="F469" s="74" t="s">
        <v>83</v>
      </c>
      <c r="G469" s="74" t="s">
        <v>84</v>
      </c>
      <c r="H469" s="95" t="s">
        <v>85</v>
      </c>
      <c r="I469" s="95" t="s">
        <v>18</v>
      </c>
    </row>
    <row r="470" spans="1:9">
      <c r="A470" s="90">
        <v>2</v>
      </c>
      <c r="B470" s="91" t="s">
        <v>62</v>
      </c>
      <c r="C470" s="89" t="s">
        <v>89</v>
      </c>
      <c r="D470" s="112">
        <v>200</v>
      </c>
      <c r="E470" s="112">
        <v>120</v>
      </c>
      <c r="F470" s="112">
        <v>20</v>
      </c>
      <c r="G470" s="74">
        <v>1300</v>
      </c>
      <c r="H470" s="75">
        <f>D470*E470*F470*G470/1000</f>
        <v>624000</v>
      </c>
      <c r="I470" s="96">
        <f t="shared" ref="I470:I477" si="33">IF(H470="-","-",A470*H470)</f>
        <v>1248000</v>
      </c>
    </row>
    <row r="471" spans="1:9">
      <c r="A471" s="90">
        <v>13</v>
      </c>
      <c r="B471" s="91"/>
      <c r="C471" s="89" t="s">
        <v>89</v>
      </c>
      <c r="D471" s="112">
        <v>200</v>
      </c>
      <c r="E471" s="112">
        <v>140</v>
      </c>
      <c r="F471" s="112">
        <v>20</v>
      </c>
      <c r="G471" s="74">
        <v>1300</v>
      </c>
      <c r="H471" s="75">
        <f>D471*E471*F471*G471/1000</f>
        <v>728000</v>
      </c>
      <c r="I471" s="96">
        <f t="shared" si="33"/>
        <v>9464000</v>
      </c>
    </row>
    <row r="472" spans="1:9">
      <c r="A472" s="90">
        <v>2</v>
      </c>
      <c r="B472" s="91"/>
      <c r="C472" s="89" t="s">
        <v>89</v>
      </c>
      <c r="D472" s="112">
        <v>200</v>
      </c>
      <c r="E472" s="112">
        <v>140</v>
      </c>
      <c r="F472" s="112">
        <v>30</v>
      </c>
      <c r="G472" s="74">
        <v>1300</v>
      </c>
      <c r="H472" s="75">
        <f t="shared" ref="H472:H477" si="34">D472*E472*F472*G472/1000</f>
        <v>1092000</v>
      </c>
      <c r="I472" s="96">
        <f t="shared" si="33"/>
        <v>2184000</v>
      </c>
    </row>
    <row r="473" spans="1:9">
      <c r="A473" s="90">
        <v>10</v>
      </c>
      <c r="B473" s="91"/>
      <c r="C473" s="89" t="s">
        <v>89</v>
      </c>
      <c r="D473" s="112">
        <v>200</v>
      </c>
      <c r="E473" s="112">
        <v>150</v>
      </c>
      <c r="F473" s="112">
        <v>20</v>
      </c>
      <c r="G473" s="74">
        <v>1300</v>
      </c>
      <c r="H473" s="75">
        <f t="shared" si="34"/>
        <v>780000</v>
      </c>
      <c r="I473" s="96">
        <f t="shared" si="33"/>
        <v>7800000</v>
      </c>
    </row>
    <row r="474" spans="1:9">
      <c r="A474" s="90">
        <v>1</v>
      </c>
      <c r="B474" s="91"/>
      <c r="C474" s="89" t="s">
        <v>89</v>
      </c>
      <c r="D474" s="112">
        <v>200</v>
      </c>
      <c r="E474" s="112">
        <v>150</v>
      </c>
      <c r="F474" s="112">
        <v>30</v>
      </c>
      <c r="G474" s="74">
        <v>1300</v>
      </c>
      <c r="H474" s="75">
        <f t="shared" si="34"/>
        <v>1170000</v>
      </c>
      <c r="I474" s="96">
        <f t="shared" si="33"/>
        <v>1170000</v>
      </c>
    </row>
    <row r="475" spans="1:9">
      <c r="A475" s="90">
        <v>15</v>
      </c>
      <c r="B475" s="91"/>
      <c r="C475" s="89" t="s">
        <v>89</v>
      </c>
      <c r="D475" s="112">
        <v>200</v>
      </c>
      <c r="E475" s="112">
        <v>160</v>
      </c>
      <c r="F475" s="112">
        <v>20</v>
      </c>
      <c r="G475" s="74">
        <v>1300</v>
      </c>
      <c r="H475" s="75">
        <f t="shared" si="34"/>
        <v>832000</v>
      </c>
      <c r="I475" s="96">
        <f t="shared" si="33"/>
        <v>12480000</v>
      </c>
    </row>
    <row r="476" spans="1:9">
      <c r="A476" s="90">
        <v>3</v>
      </c>
      <c r="B476" s="91"/>
      <c r="C476" s="89" t="s">
        <v>89</v>
      </c>
      <c r="D476" s="112">
        <v>200</v>
      </c>
      <c r="E476" s="112">
        <v>160</v>
      </c>
      <c r="F476" s="112">
        <v>30</v>
      </c>
      <c r="G476" s="74">
        <v>1300</v>
      </c>
      <c r="H476" s="75">
        <f t="shared" si="34"/>
        <v>1248000</v>
      </c>
      <c r="I476" s="96">
        <f t="shared" si="33"/>
        <v>3744000</v>
      </c>
    </row>
    <row r="477" spans="1:9">
      <c r="A477" s="90"/>
      <c r="B477" s="91"/>
      <c r="C477" s="74"/>
      <c r="D477" s="112"/>
      <c r="E477" s="112"/>
      <c r="F477" s="112"/>
      <c r="G477" s="74"/>
      <c r="H477" s="75">
        <f t="shared" si="34"/>
        <v>0</v>
      </c>
      <c r="I477" s="96">
        <f t="shared" si="33"/>
        <v>0</v>
      </c>
    </row>
    <row r="478" spans="1:9">
      <c r="A478" s="111"/>
      <c r="B478" s="106"/>
      <c r="C478" s="74"/>
      <c r="D478" s="74"/>
      <c r="E478" s="74"/>
      <c r="F478" s="74"/>
      <c r="G478" s="74"/>
      <c r="H478" s="75"/>
      <c r="I478" s="96"/>
    </row>
    <row r="479" spans="1:9">
      <c r="A479" s="90"/>
      <c r="B479" s="91"/>
      <c r="C479" s="74" t="str">
        <f>IF(B479&lt;1,"-",VLOOKUP(B479,HARGA01,2))</f>
        <v>-</v>
      </c>
      <c r="D479" s="74"/>
      <c r="E479" s="74"/>
      <c r="F479" s="74"/>
      <c r="G479" s="74"/>
      <c r="H479" s="96" t="str">
        <f>IF(B479&lt;1,"-",VLOOKUP(B479,HARGA01,3))</f>
        <v>-</v>
      </c>
      <c r="I479" s="96" t="str">
        <f>IF(H479="-","-",A479*H479)</f>
        <v>-</v>
      </c>
    </row>
    <row r="480" spans="1:9">
      <c r="A480" s="90">
        <f>SUM(A470:A479)</f>
        <v>46</v>
      </c>
      <c r="B480" s="91"/>
      <c r="C480" s="74" t="str">
        <f>IF(B480&lt;1,"-",VLOOKUP(B480,HARGA01,2))</f>
        <v>-</v>
      </c>
      <c r="D480" s="74"/>
      <c r="E480" s="74"/>
      <c r="F480" s="74"/>
      <c r="G480" s="74"/>
      <c r="H480" s="96" t="str">
        <f>IF(B480&lt;1,"-",VLOOKUP(B480,HARGA01,3))</f>
        <v>-</v>
      </c>
      <c r="I480" s="96" t="str">
        <f>IF(H480="-","-",A480*H480)</f>
        <v>-</v>
      </c>
    </row>
    <row r="481" spans="1:9">
      <c r="A481" s="634" t="s">
        <v>23</v>
      </c>
      <c r="B481" s="635"/>
      <c r="C481" s="634"/>
      <c r="D481" s="634"/>
      <c r="E481" s="634"/>
      <c r="F481" s="634"/>
      <c r="G481" s="634"/>
      <c r="H481" s="636"/>
      <c r="I481" s="96">
        <f>SUM(I470:I480)</f>
        <v>38090000</v>
      </c>
    </row>
    <row r="482" spans="1:9">
      <c r="A482" s="28" t="s">
        <v>24</v>
      </c>
      <c r="B482" s="28"/>
      <c r="H482" s="637" t="s">
        <v>25</v>
      </c>
      <c r="I482" s="637"/>
    </row>
    <row r="485" spans="1:9">
      <c r="H485" s="94" t="s">
        <v>27</v>
      </c>
      <c r="I485" s="25"/>
    </row>
    <row r="486" spans="1:9" ht="27">
      <c r="A486" s="2" t="s">
        <v>0</v>
      </c>
      <c r="B486" s="2"/>
    </row>
    <row r="487" spans="1:9">
      <c r="A487" t="s">
        <v>1</v>
      </c>
      <c r="C487" t="s">
        <v>2</v>
      </c>
      <c r="D487" t="s">
        <v>3</v>
      </c>
      <c r="E487" s="85">
        <v>44103</v>
      </c>
    </row>
    <row r="488" spans="1:9">
      <c r="C488" t="s">
        <v>4</v>
      </c>
      <c r="D488" t="s">
        <v>5</v>
      </c>
      <c r="E488" t="s">
        <v>48</v>
      </c>
    </row>
    <row r="489" spans="1:9">
      <c r="C489" t="s">
        <v>7</v>
      </c>
      <c r="D489" s="86"/>
      <c r="E489" s="86" t="s">
        <v>49</v>
      </c>
    </row>
    <row r="490" spans="1:9">
      <c r="A490" t="s">
        <v>8</v>
      </c>
      <c r="C490" s="87" t="s">
        <v>9</v>
      </c>
      <c r="D490" t="s">
        <v>10</v>
      </c>
      <c r="E490" s="114" t="s">
        <v>11</v>
      </c>
    </row>
    <row r="491" spans="1:9">
      <c r="A491" t="s">
        <v>12</v>
      </c>
      <c r="C491" t="s">
        <v>13</v>
      </c>
      <c r="D491" t="s">
        <v>14</v>
      </c>
      <c r="E491" t="s">
        <v>11</v>
      </c>
    </row>
    <row r="492" spans="1:9">
      <c r="A492" s="88" t="s">
        <v>15</v>
      </c>
      <c r="B492" s="89"/>
      <c r="C492" s="98" t="s">
        <v>16</v>
      </c>
      <c r="D492" s="95" t="s">
        <v>17</v>
      </c>
      <c r="E492" s="95" t="s">
        <v>18</v>
      </c>
    </row>
    <row r="493" spans="1:9">
      <c r="A493" s="100">
        <v>20</v>
      </c>
      <c r="B493" s="101"/>
      <c r="C493" s="74" t="s">
        <v>95</v>
      </c>
      <c r="D493" s="75"/>
      <c r="E493" s="96">
        <f t="shared" ref="E493:E499" si="35">IF(D493="-","-",A493*D493)</f>
        <v>0</v>
      </c>
    </row>
    <row r="494" spans="1:9">
      <c r="A494" s="103">
        <v>5</v>
      </c>
      <c r="B494" s="104"/>
      <c r="C494" s="74" t="s">
        <v>96</v>
      </c>
      <c r="D494" s="75"/>
      <c r="E494" s="96">
        <f t="shared" si="35"/>
        <v>0</v>
      </c>
    </row>
    <row r="495" spans="1:9">
      <c r="A495" s="103">
        <v>5</v>
      </c>
      <c r="B495" s="104"/>
      <c r="C495" s="74" t="s">
        <v>97</v>
      </c>
      <c r="D495" s="75"/>
      <c r="E495" s="96">
        <f t="shared" si="35"/>
        <v>0</v>
      </c>
    </row>
    <row r="496" spans="1:9">
      <c r="A496" s="103"/>
      <c r="B496" s="104"/>
      <c r="C496" s="74"/>
      <c r="D496" s="75"/>
      <c r="E496" s="96">
        <f t="shared" si="35"/>
        <v>0</v>
      </c>
    </row>
    <row r="497" spans="1:9">
      <c r="A497" s="103"/>
      <c r="B497" s="104"/>
      <c r="C497" s="74"/>
      <c r="D497" s="75"/>
      <c r="E497" s="96">
        <f t="shared" si="35"/>
        <v>0</v>
      </c>
    </row>
    <row r="498" spans="1:9">
      <c r="A498" s="103"/>
      <c r="B498" s="104">
        <v>14</v>
      </c>
      <c r="C498" s="74"/>
      <c r="D498" s="75"/>
      <c r="E498" s="96">
        <f t="shared" si="35"/>
        <v>0</v>
      </c>
    </row>
    <row r="499" spans="1:9">
      <c r="A499" s="108"/>
      <c r="B499" s="109"/>
      <c r="C499" s="74"/>
      <c r="D499" s="75"/>
      <c r="E499" s="96">
        <f t="shared" si="35"/>
        <v>0</v>
      </c>
    </row>
    <row r="500" spans="1:9">
      <c r="A500" s="103"/>
      <c r="B500" s="104"/>
      <c r="C500" s="74"/>
      <c r="D500" s="75"/>
      <c r="E500" s="96"/>
    </row>
    <row r="501" spans="1:9">
      <c r="A501" s="111"/>
      <c r="B501" s="106"/>
      <c r="C501" s="74"/>
      <c r="D501" s="75"/>
      <c r="E501" s="96"/>
    </row>
    <row r="502" spans="1:9">
      <c r="A502" s="90"/>
      <c r="B502" s="91"/>
      <c r="C502" s="88" t="str">
        <f>IF(B502&lt;1,"-",VLOOKUP(B502,HARGA01,2))</f>
        <v>-</v>
      </c>
      <c r="D502" s="96" t="str">
        <f>IF(B502&lt;1,"-",VLOOKUP(B502,HARGA01,3))</f>
        <v>-</v>
      </c>
      <c r="E502" s="96" t="str">
        <f>IF(D502="-","-",A502*D502)</f>
        <v>-</v>
      </c>
    </row>
    <row r="503" spans="1:9">
      <c r="A503" s="90">
        <f>SUM(A493:A502)</f>
        <v>30</v>
      </c>
      <c r="B503" s="91"/>
      <c r="C503" s="88" t="str">
        <f>IF(B503&lt;1,"-",VLOOKUP(B503,HARGA01,2))</f>
        <v>-</v>
      </c>
      <c r="D503" s="96" t="str">
        <f>IF(B503&lt;1,"-",VLOOKUP(B503,HARGA01,3))</f>
        <v>-</v>
      </c>
      <c r="E503" s="96" t="str">
        <f>IF(D503="-","-",A503*D503)</f>
        <v>-</v>
      </c>
    </row>
    <row r="504" spans="1:9">
      <c r="A504" s="634" t="s">
        <v>23</v>
      </c>
      <c r="B504" s="635"/>
      <c r="C504" s="634"/>
      <c r="D504" s="636"/>
      <c r="E504" s="96">
        <f>SUM(E493:E503)</f>
        <v>0</v>
      </c>
    </row>
    <row r="505" spans="1:9">
      <c r="A505" s="28" t="s">
        <v>24</v>
      </c>
      <c r="B505" s="28"/>
      <c r="D505" s="637" t="s">
        <v>25</v>
      </c>
      <c r="E505" s="637"/>
    </row>
    <row r="508" spans="1:9">
      <c r="D508" s="94" t="s">
        <v>27</v>
      </c>
      <c r="E508" s="25"/>
    </row>
    <row r="510" spans="1:9" ht="27">
      <c r="A510" s="2" t="s">
        <v>0</v>
      </c>
      <c r="B510" s="2"/>
    </row>
    <row r="511" spans="1:9">
      <c r="A511" t="s">
        <v>1</v>
      </c>
      <c r="C511" t="s">
        <v>2</v>
      </c>
      <c r="H511" t="s">
        <v>3</v>
      </c>
      <c r="I511" s="85">
        <v>44047</v>
      </c>
    </row>
    <row r="512" spans="1:9">
      <c r="C512" t="s">
        <v>4</v>
      </c>
      <c r="H512" t="s">
        <v>5</v>
      </c>
      <c r="I512" t="s">
        <v>48</v>
      </c>
    </row>
    <row r="513" spans="1:9">
      <c r="C513" t="s">
        <v>7</v>
      </c>
      <c r="H513" s="86"/>
      <c r="I513" s="86" t="s">
        <v>49</v>
      </c>
    </row>
    <row r="514" spans="1:9">
      <c r="A514" t="s">
        <v>8</v>
      </c>
      <c r="C514" s="87" t="s">
        <v>9</v>
      </c>
      <c r="D514" s="87"/>
      <c r="E514" s="87"/>
      <c r="F514" s="87"/>
      <c r="G514" s="87"/>
      <c r="H514" t="s">
        <v>10</v>
      </c>
      <c r="I514" s="114" t="s">
        <v>11</v>
      </c>
    </row>
    <row r="515" spans="1:9">
      <c r="A515" t="s">
        <v>12</v>
      </c>
      <c r="C515" t="s">
        <v>13</v>
      </c>
      <c r="H515" t="s">
        <v>14</v>
      </c>
      <c r="I515" t="s">
        <v>11</v>
      </c>
    </row>
    <row r="516" spans="1:9">
      <c r="A516" s="88" t="s">
        <v>15</v>
      </c>
      <c r="B516" s="89"/>
      <c r="C516" s="74" t="s">
        <v>16</v>
      </c>
      <c r="D516" s="74" t="s">
        <v>81</v>
      </c>
      <c r="E516" s="74" t="s">
        <v>82</v>
      </c>
      <c r="F516" s="74" t="s">
        <v>83</v>
      </c>
      <c r="G516" s="74" t="s">
        <v>84</v>
      </c>
      <c r="H516" s="95" t="s">
        <v>85</v>
      </c>
      <c r="I516" s="95" t="s">
        <v>18</v>
      </c>
    </row>
    <row r="517" spans="1:9">
      <c r="A517" s="90">
        <v>2</v>
      </c>
      <c r="B517" s="91" t="s">
        <v>62</v>
      </c>
      <c r="C517" s="89" t="s">
        <v>89</v>
      </c>
      <c r="D517" s="112">
        <v>200</v>
      </c>
      <c r="E517" s="112">
        <v>120</v>
      </c>
      <c r="F517" s="112">
        <v>20</v>
      </c>
      <c r="G517" s="74">
        <v>1300</v>
      </c>
      <c r="H517" s="75">
        <f>D517*E517*F517*G517/1000</f>
        <v>624000</v>
      </c>
      <c r="I517" s="96">
        <f t="shared" ref="I517:I524" si="36">IF(H517="-","-",A517*H517)</f>
        <v>1248000</v>
      </c>
    </row>
    <row r="518" spans="1:9">
      <c r="A518" s="90">
        <v>13</v>
      </c>
      <c r="B518" s="91"/>
      <c r="C518" s="89" t="s">
        <v>89</v>
      </c>
      <c r="D518" s="112">
        <v>200</v>
      </c>
      <c r="E518" s="112">
        <v>140</v>
      </c>
      <c r="F518" s="112">
        <v>20</v>
      </c>
      <c r="G518" s="74">
        <v>1300</v>
      </c>
      <c r="H518" s="75">
        <f>D518*E518*F518*G518/1000</f>
        <v>728000</v>
      </c>
      <c r="I518" s="96">
        <f t="shared" si="36"/>
        <v>9464000</v>
      </c>
    </row>
    <row r="519" spans="1:9">
      <c r="A519" s="90">
        <v>2</v>
      </c>
      <c r="B519" s="91"/>
      <c r="C519" s="89" t="s">
        <v>89</v>
      </c>
      <c r="D519" s="112">
        <v>200</v>
      </c>
      <c r="E519" s="112">
        <v>140</v>
      </c>
      <c r="F519" s="112">
        <v>30</v>
      </c>
      <c r="G519" s="74">
        <v>1300</v>
      </c>
      <c r="H519" s="75">
        <f t="shared" ref="H519:H524" si="37">D519*E519*F519*G519/1000</f>
        <v>1092000</v>
      </c>
      <c r="I519" s="96">
        <f t="shared" si="36"/>
        <v>2184000</v>
      </c>
    </row>
    <row r="520" spans="1:9">
      <c r="A520" s="90">
        <v>10</v>
      </c>
      <c r="B520" s="91"/>
      <c r="C520" s="89" t="s">
        <v>89</v>
      </c>
      <c r="D520" s="112">
        <v>200</v>
      </c>
      <c r="E520" s="112">
        <v>150</v>
      </c>
      <c r="F520" s="112">
        <v>20</v>
      </c>
      <c r="G520" s="74">
        <v>1300</v>
      </c>
      <c r="H520" s="75">
        <f t="shared" si="37"/>
        <v>780000</v>
      </c>
      <c r="I520" s="96">
        <f t="shared" si="36"/>
        <v>7800000</v>
      </c>
    </row>
    <row r="521" spans="1:9">
      <c r="A521" s="90">
        <v>1</v>
      </c>
      <c r="B521" s="91"/>
      <c r="C521" s="89" t="s">
        <v>89</v>
      </c>
      <c r="D521" s="112">
        <v>200</v>
      </c>
      <c r="E521" s="112">
        <v>150</v>
      </c>
      <c r="F521" s="112">
        <v>30</v>
      </c>
      <c r="G521" s="74">
        <v>1300</v>
      </c>
      <c r="H521" s="75">
        <f t="shared" si="37"/>
        <v>1170000</v>
      </c>
      <c r="I521" s="96">
        <f t="shared" si="36"/>
        <v>1170000</v>
      </c>
    </row>
    <row r="522" spans="1:9">
      <c r="A522" s="90">
        <v>15</v>
      </c>
      <c r="B522" s="91"/>
      <c r="C522" s="89" t="s">
        <v>89</v>
      </c>
      <c r="D522" s="112">
        <v>200</v>
      </c>
      <c r="E522" s="112">
        <v>160</v>
      </c>
      <c r="F522" s="112">
        <v>20</v>
      </c>
      <c r="G522" s="74">
        <v>1300</v>
      </c>
      <c r="H522" s="75">
        <f t="shared" si="37"/>
        <v>832000</v>
      </c>
      <c r="I522" s="96">
        <f t="shared" si="36"/>
        <v>12480000</v>
      </c>
    </row>
    <row r="523" spans="1:9">
      <c r="A523" s="90">
        <v>3</v>
      </c>
      <c r="B523" s="91"/>
      <c r="C523" s="89" t="s">
        <v>89</v>
      </c>
      <c r="D523" s="112">
        <v>200</v>
      </c>
      <c r="E523" s="112">
        <v>160</v>
      </c>
      <c r="F523" s="112">
        <v>30</v>
      </c>
      <c r="G523" s="74">
        <v>1300</v>
      </c>
      <c r="H523" s="75">
        <f t="shared" si="37"/>
        <v>1248000</v>
      </c>
      <c r="I523" s="96">
        <f t="shared" si="36"/>
        <v>3744000</v>
      </c>
    </row>
    <row r="524" spans="1:9">
      <c r="A524" s="90"/>
      <c r="B524" s="91"/>
      <c r="C524" s="74"/>
      <c r="D524" s="112"/>
      <c r="E524" s="112"/>
      <c r="F524" s="112"/>
      <c r="G524" s="74"/>
      <c r="H524" s="75">
        <f t="shared" si="37"/>
        <v>0</v>
      </c>
      <c r="I524" s="96">
        <f t="shared" si="36"/>
        <v>0</v>
      </c>
    </row>
    <row r="525" spans="1:9">
      <c r="A525" s="111"/>
      <c r="B525" s="106"/>
      <c r="C525" s="74"/>
      <c r="D525" s="74"/>
      <c r="E525" s="74"/>
      <c r="F525" s="74"/>
      <c r="G525" s="74"/>
      <c r="H525" s="75"/>
      <c r="I525" s="96"/>
    </row>
    <row r="526" spans="1:9">
      <c r="A526" s="90"/>
      <c r="B526" s="91"/>
      <c r="C526" s="74" t="str">
        <f>IF(B526&lt;1,"-",VLOOKUP(B526,HARGA01,2))</f>
        <v>-</v>
      </c>
      <c r="D526" s="74"/>
      <c r="E526" s="74"/>
      <c r="F526" s="74"/>
      <c r="G526" s="74"/>
      <c r="H526" s="96" t="str">
        <f>IF(B526&lt;1,"-",VLOOKUP(B526,HARGA01,3))</f>
        <v>-</v>
      </c>
      <c r="I526" s="96" t="str">
        <f>IF(H526="-","-",A526*H526)</f>
        <v>-</v>
      </c>
    </row>
    <row r="527" spans="1:9">
      <c r="A527" s="90">
        <f>SUM(A517:A526)</f>
        <v>46</v>
      </c>
      <c r="B527" s="91"/>
      <c r="C527" s="74" t="str">
        <f>IF(B527&lt;1,"-",VLOOKUP(B527,HARGA01,2))</f>
        <v>-</v>
      </c>
      <c r="D527" s="74"/>
      <c r="E527" s="74"/>
      <c r="F527" s="74"/>
      <c r="G527" s="74"/>
      <c r="H527" s="96" t="str">
        <f>IF(B527&lt;1,"-",VLOOKUP(B527,HARGA01,3))</f>
        <v>-</v>
      </c>
      <c r="I527" s="96" t="str">
        <f>IF(H527="-","-",A527*H527)</f>
        <v>-</v>
      </c>
    </row>
    <row r="528" spans="1:9">
      <c r="A528" s="634" t="s">
        <v>23</v>
      </c>
      <c r="B528" s="635"/>
      <c r="C528" s="634"/>
      <c r="D528" s="634"/>
      <c r="E528" s="634"/>
      <c r="F528" s="634"/>
      <c r="G528" s="634"/>
      <c r="H528" s="636"/>
      <c r="I528" s="96">
        <f>SUM(I517:I527)</f>
        <v>38090000</v>
      </c>
    </row>
    <row r="529" spans="1:9">
      <c r="A529" s="28" t="s">
        <v>24</v>
      </c>
      <c r="B529" s="28"/>
      <c r="H529" s="637" t="s">
        <v>25</v>
      </c>
      <c r="I529" s="637"/>
    </row>
    <row r="532" spans="1:9">
      <c r="H532" s="94" t="s">
        <v>27</v>
      </c>
      <c r="I532" s="25"/>
    </row>
    <row r="533" spans="1:9" ht="27">
      <c r="A533" s="2" t="s">
        <v>0</v>
      </c>
      <c r="B533" s="2"/>
    </row>
    <row r="534" spans="1:9">
      <c r="A534" t="s">
        <v>1</v>
      </c>
      <c r="C534" t="s">
        <v>2</v>
      </c>
      <c r="H534" t="s">
        <v>3</v>
      </c>
      <c r="I534" s="85">
        <v>44056</v>
      </c>
    </row>
    <row r="535" spans="1:9">
      <c r="C535" t="s">
        <v>4</v>
      </c>
      <c r="H535" t="s">
        <v>5</v>
      </c>
      <c r="I535" t="s">
        <v>48</v>
      </c>
    </row>
    <row r="536" spans="1:9">
      <c r="C536" t="s">
        <v>7</v>
      </c>
      <c r="H536" s="86"/>
      <c r="I536" s="86" t="s">
        <v>49</v>
      </c>
    </row>
    <row r="537" spans="1:9">
      <c r="A537" t="s">
        <v>8</v>
      </c>
      <c r="C537" s="87" t="s">
        <v>9</v>
      </c>
      <c r="D537" s="87"/>
      <c r="E537" s="87"/>
      <c r="F537" s="87"/>
      <c r="G537" s="87"/>
      <c r="H537" t="s">
        <v>10</v>
      </c>
      <c r="I537" s="114" t="s">
        <v>11</v>
      </c>
    </row>
    <row r="538" spans="1:9">
      <c r="A538" t="s">
        <v>12</v>
      </c>
      <c r="C538" t="s">
        <v>13</v>
      </c>
      <c r="H538" t="s">
        <v>14</v>
      </c>
      <c r="I538" t="s">
        <v>11</v>
      </c>
    </row>
    <row r="539" spans="1:9">
      <c r="A539" s="88" t="s">
        <v>15</v>
      </c>
      <c r="B539" s="89"/>
      <c r="C539" s="74" t="s">
        <v>16</v>
      </c>
      <c r="D539" s="74" t="s">
        <v>81</v>
      </c>
      <c r="E539" s="74" t="s">
        <v>82</v>
      </c>
      <c r="F539" s="74" t="s">
        <v>83</v>
      </c>
      <c r="G539" s="74" t="s">
        <v>84</v>
      </c>
      <c r="H539" s="95" t="s">
        <v>85</v>
      </c>
      <c r="I539" s="95" t="s">
        <v>18</v>
      </c>
    </row>
    <row r="540" spans="1:9">
      <c r="A540" s="90">
        <v>10</v>
      </c>
      <c r="B540" s="91" t="s">
        <v>62</v>
      </c>
      <c r="C540" s="89" t="s">
        <v>98</v>
      </c>
      <c r="D540" s="112">
        <v>180</v>
      </c>
      <c r="E540" s="112">
        <v>120</v>
      </c>
      <c r="F540" s="112">
        <v>10</v>
      </c>
      <c r="G540" s="74"/>
      <c r="H540" s="75">
        <v>245000</v>
      </c>
      <c r="I540" s="96">
        <f t="shared" ref="I540:I547" si="38">IF(H540="-","-",A540*H540)</f>
        <v>2450000</v>
      </c>
    </row>
    <row r="541" spans="1:9">
      <c r="A541" s="90">
        <v>8</v>
      </c>
      <c r="B541" s="91"/>
      <c r="C541" s="89" t="s">
        <v>99</v>
      </c>
      <c r="D541" s="112">
        <v>180</v>
      </c>
      <c r="E541" s="112">
        <v>140</v>
      </c>
      <c r="F541" s="112">
        <v>10</v>
      </c>
      <c r="G541" s="74"/>
      <c r="H541" s="75">
        <v>260000</v>
      </c>
      <c r="I541" s="96">
        <f t="shared" si="38"/>
        <v>2080000</v>
      </c>
    </row>
    <row r="542" spans="1:9">
      <c r="A542" s="90"/>
      <c r="B542" s="91"/>
      <c r="C542" s="89"/>
      <c r="D542" s="112"/>
      <c r="E542" s="112"/>
      <c r="F542" s="112"/>
      <c r="G542" s="74"/>
      <c r="H542" s="75"/>
      <c r="I542" s="96">
        <f t="shared" si="38"/>
        <v>0</v>
      </c>
    </row>
    <row r="543" spans="1:9">
      <c r="A543" s="90"/>
      <c r="B543" s="91"/>
      <c r="C543" s="89"/>
      <c r="D543" s="112"/>
      <c r="E543" s="112"/>
      <c r="F543" s="112"/>
      <c r="G543" s="74"/>
      <c r="H543" s="75"/>
      <c r="I543" s="96">
        <f t="shared" si="38"/>
        <v>0</v>
      </c>
    </row>
    <row r="544" spans="1:9">
      <c r="A544" s="90"/>
      <c r="B544" s="91"/>
      <c r="C544" s="89"/>
      <c r="D544" s="112"/>
      <c r="E544" s="112"/>
      <c r="F544" s="112"/>
      <c r="G544" s="74"/>
      <c r="H544" s="75"/>
      <c r="I544" s="96">
        <f t="shared" si="38"/>
        <v>0</v>
      </c>
    </row>
    <row r="545" spans="1:9">
      <c r="A545" s="90"/>
      <c r="B545" s="91"/>
      <c r="C545" s="89"/>
      <c r="D545" s="112"/>
      <c r="E545" s="112"/>
      <c r="F545" s="112"/>
      <c r="G545" s="74"/>
      <c r="H545" s="75"/>
      <c r="I545" s="96">
        <f t="shared" si="38"/>
        <v>0</v>
      </c>
    </row>
    <row r="546" spans="1:9">
      <c r="A546" s="90"/>
      <c r="B546" s="91"/>
      <c r="C546" s="89"/>
      <c r="D546" s="112"/>
      <c r="E546" s="112"/>
      <c r="F546" s="112"/>
      <c r="G546" s="74"/>
      <c r="H546" s="75"/>
      <c r="I546" s="96">
        <f t="shared" si="38"/>
        <v>0</v>
      </c>
    </row>
    <row r="547" spans="1:9">
      <c r="A547" s="90"/>
      <c r="B547" s="91"/>
      <c r="C547" s="74"/>
      <c r="D547" s="112"/>
      <c r="E547" s="112"/>
      <c r="F547" s="112"/>
      <c r="G547" s="74"/>
      <c r="H547" s="75"/>
      <c r="I547" s="96">
        <f t="shared" si="38"/>
        <v>0</v>
      </c>
    </row>
    <row r="548" spans="1:9">
      <c r="A548" s="111"/>
      <c r="B548" s="106"/>
      <c r="C548" s="74"/>
      <c r="D548" s="74"/>
      <c r="E548" s="74"/>
      <c r="F548" s="74"/>
      <c r="G548" s="74"/>
      <c r="H548" s="75"/>
      <c r="I548" s="96"/>
    </row>
    <row r="549" spans="1:9">
      <c r="A549" s="90"/>
      <c r="B549" s="91"/>
      <c r="C549" s="74" t="str">
        <f>IF(B549&lt;1,"-",VLOOKUP(B549,HARGA01,2))</f>
        <v>-</v>
      </c>
      <c r="D549" s="74"/>
      <c r="E549" s="74"/>
      <c r="F549" s="74"/>
      <c r="G549" s="74"/>
      <c r="H549" s="96" t="str">
        <f>IF(B549&lt;1,"-",VLOOKUP(B549,HARGA01,3))</f>
        <v>-</v>
      </c>
      <c r="I549" s="96" t="str">
        <f>IF(H549="-","-",A549*H549)</f>
        <v>-</v>
      </c>
    </row>
    <row r="550" spans="1:9">
      <c r="A550" s="90">
        <f>SUM(A540:A549)</f>
        <v>18</v>
      </c>
      <c r="B550" s="91"/>
      <c r="C550" s="74" t="str">
        <f>IF(B550&lt;1,"-",VLOOKUP(B550,HARGA01,2))</f>
        <v>-</v>
      </c>
      <c r="D550" s="74"/>
      <c r="E550" s="74"/>
      <c r="F550" s="74"/>
      <c r="G550" s="74"/>
      <c r="H550" s="96" t="str">
        <f>IF(B550&lt;1,"-",VLOOKUP(B550,HARGA01,3))</f>
        <v>-</v>
      </c>
      <c r="I550" s="96" t="str">
        <f>IF(H550="-","-",A550*H550)</f>
        <v>-</v>
      </c>
    </row>
    <row r="551" spans="1:9">
      <c r="A551" s="634" t="s">
        <v>23</v>
      </c>
      <c r="B551" s="635"/>
      <c r="C551" s="634"/>
      <c r="D551" s="634"/>
      <c r="E551" s="634"/>
      <c r="F551" s="634"/>
      <c r="G551" s="634"/>
      <c r="H551" s="636"/>
      <c r="I551" s="96">
        <f>SUM(I540:I550)</f>
        <v>4530000</v>
      </c>
    </row>
    <row r="552" spans="1:9">
      <c r="A552" s="28" t="s">
        <v>24</v>
      </c>
      <c r="B552" s="28"/>
      <c r="H552" s="637" t="s">
        <v>25</v>
      </c>
      <c r="I552" s="637"/>
    </row>
    <row r="555" spans="1:9">
      <c r="H555" s="94" t="s">
        <v>27</v>
      </c>
      <c r="I555" s="25"/>
    </row>
    <row r="556" spans="1:9" ht="27">
      <c r="A556" s="2" t="s">
        <v>0</v>
      </c>
      <c r="B556" s="2"/>
    </row>
    <row r="557" spans="1:9">
      <c r="A557" t="s">
        <v>1</v>
      </c>
      <c r="C557" t="s">
        <v>2</v>
      </c>
      <c r="H557" t="s">
        <v>3</v>
      </c>
      <c r="I557" s="85">
        <v>44057</v>
      </c>
    </row>
    <row r="558" spans="1:9">
      <c r="C558" t="s">
        <v>4</v>
      </c>
      <c r="H558" t="s">
        <v>5</v>
      </c>
      <c r="I558" t="s">
        <v>48</v>
      </c>
    </row>
    <row r="559" spans="1:9">
      <c r="C559" t="s">
        <v>7</v>
      </c>
      <c r="H559" s="86"/>
      <c r="I559" s="86" t="s">
        <v>49</v>
      </c>
    </row>
    <row r="560" spans="1:9">
      <c r="A560" t="s">
        <v>8</v>
      </c>
      <c r="C560" s="87" t="s">
        <v>9</v>
      </c>
      <c r="D560" s="87"/>
      <c r="E560" s="87"/>
      <c r="F560" s="87"/>
      <c r="G560" s="87"/>
      <c r="H560" t="s">
        <v>10</v>
      </c>
      <c r="I560" s="114" t="s">
        <v>11</v>
      </c>
    </row>
    <row r="561" spans="1:9">
      <c r="A561" t="s">
        <v>12</v>
      </c>
      <c r="C561" t="s">
        <v>13</v>
      </c>
      <c r="H561" t="s">
        <v>14</v>
      </c>
      <c r="I561" t="s">
        <v>11</v>
      </c>
    </row>
    <row r="562" spans="1:9">
      <c r="A562" s="88" t="s">
        <v>15</v>
      </c>
      <c r="B562" s="89"/>
      <c r="C562" s="74" t="s">
        <v>16</v>
      </c>
      <c r="D562" s="74" t="s">
        <v>81</v>
      </c>
      <c r="E562" s="74" t="s">
        <v>82</v>
      </c>
      <c r="F562" s="74" t="s">
        <v>83</v>
      </c>
      <c r="G562" s="74" t="s">
        <v>84</v>
      </c>
      <c r="H562" s="95" t="s">
        <v>85</v>
      </c>
      <c r="I562" s="95" t="s">
        <v>18</v>
      </c>
    </row>
    <row r="563" spans="1:9">
      <c r="A563" s="90">
        <v>1</v>
      </c>
      <c r="B563" s="91" t="s">
        <v>62</v>
      </c>
      <c r="C563" s="89" t="s">
        <v>100</v>
      </c>
      <c r="D563" s="112">
        <v>200</v>
      </c>
      <c r="E563" s="112">
        <v>140</v>
      </c>
      <c r="F563" s="112">
        <v>30</v>
      </c>
      <c r="G563" s="74">
        <v>1300</v>
      </c>
      <c r="H563" s="96">
        <f>G563*F563*E563*D563/1000</f>
        <v>1092000</v>
      </c>
      <c r="I563" s="96">
        <f t="shared" ref="I563:I570" si="39">IF(H563="-","-",A563*H563)</f>
        <v>1092000</v>
      </c>
    </row>
    <row r="564" spans="1:9">
      <c r="A564" s="90">
        <v>2</v>
      </c>
      <c r="B564" s="91"/>
      <c r="C564" s="89" t="s">
        <v>100</v>
      </c>
      <c r="D564" s="112">
        <v>200</v>
      </c>
      <c r="E564" s="112">
        <v>140</v>
      </c>
      <c r="F564" s="112">
        <v>20</v>
      </c>
      <c r="G564" s="74">
        <v>1300</v>
      </c>
      <c r="H564" s="96">
        <f>G564*F564*E564*D564/1000</f>
        <v>728000</v>
      </c>
      <c r="I564" s="96">
        <f t="shared" si="39"/>
        <v>1456000</v>
      </c>
    </row>
    <row r="565" spans="1:9">
      <c r="A565" s="90">
        <v>3</v>
      </c>
      <c r="B565" s="91"/>
      <c r="C565" s="89" t="s">
        <v>100</v>
      </c>
      <c r="D565" s="112">
        <v>200</v>
      </c>
      <c r="E565" s="112">
        <v>120</v>
      </c>
      <c r="F565" s="112">
        <v>20</v>
      </c>
      <c r="G565" s="74">
        <v>1300</v>
      </c>
      <c r="H565" s="96">
        <f>G565*F565*E565*D565/1000</f>
        <v>624000</v>
      </c>
      <c r="I565" s="96">
        <f t="shared" si="39"/>
        <v>1872000</v>
      </c>
    </row>
    <row r="566" spans="1:9">
      <c r="A566" s="90"/>
      <c r="B566" s="91"/>
      <c r="C566" s="89"/>
      <c r="D566" s="112"/>
      <c r="E566" s="112"/>
      <c r="F566" s="112"/>
      <c r="G566" s="74"/>
      <c r="H566" s="75"/>
      <c r="I566" s="96">
        <f t="shared" si="39"/>
        <v>0</v>
      </c>
    </row>
    <row r="567" spans="1:9">
      <c r="A567" s="90"/>
      <c r="B567" s="91"/>
      <c r="C567" s="89"/>
      <c r="D567" s="112"/>
      <c r="E567" s="112"/>
      <c r="F567" s="112"/>
      <c r="G567" s="74"/>
      <c r="H567" s="75"/>
      <c r="I567" s="96">
        <f t="shared" si="39"/>
        <v>0</v>
      </c>
    </row>
    <row r="568" spans="1:9">
      <c r="A568" s="90"/>
      <c r="B568" s="91"/>
      <c r="C568" s="89"/>
      <c r="D568" s="112"/>
      <c r="E568" s="112"/>
      <c r="F568" s="112"/>
      <c r="G568" s="74"/>
      <c r="H568" s="75"/>
      <c r="I568" s="96">
        <f t="shared" si="39"/>
        <v>0</v>
      </c>
    </row>
    <row r="569" spans="1:9">
      <c r="A569" s="90"/>
      <c r="B569" s="91"/>
      <c r="C569" s="89"/>
      <c r="D569" s="112"/>
      <c r="E569" s="112"/>
      <c r="F569" s="112"/>
      <c r="G569" s="74"/>
      <c r="H569" s="75"/>
      <c r="I569" s="96">
        <f t="shared" si="39"/>
        <v>0</v>
      </c>
    </row>
    <row r="570" spans="1:9">
      <c r="A570" s="90"/>
      <c r="B570" s="91"/>
      <c r="C570" s="74"/>
      <c r="D570" s="112"/>
      <c r="E570" s="112"/>
      <c r="F570" s="112"/>
      <c r="G570" s="74"/>
      <c r="H570" s="75"/>
      <c r="I570" s="96">
        <f t="shared" si="39"/>
        <v>0</v>
      </c>
    </row>
    <row r="571" spans="1:9">
      <c r="A571" s="111"/>
      <c r="B571" s="106"/>
      <c r="C571" s="74"/>
      <c r="D571" s="74"/>
      <c r="E571" s="74"/>
      <c r="F571" s="74"/>
      <c r="G571" s="74"/>
      <c r="H571" s="75"/>
      <c r="I571" s="96"/>
    </row>
    <row r="572" spans="1:9">
      <c r="A572" s="90"/>
      <c r="B572" s="91"/>
      <c r="C572" s="74" t="str">
        <f>IF(B572&lt;1,"-",VLOOKUP(B572,HARGA01,2))</f>
        <v>-</v>
      </c>
      <c r="D572" s="74"/>
      <c r="E572" s="74"/>
      <c r="F572" s="74"/>
      <c r="G572" s="74"/>
      <c r="H572" s="96" t="str">
        <f>IF(B572&lt;1,"-",VLOOKUP(B572,HARGA01,3))</f>
        <v>-</v>
      </c>
      <c r="I572" s="96" t="str">
        <f>IF(H572="-","-",A572*H572)</f>
        <v>-</v>
      </c>
    </row>
    <row r="573" spans="1:9">
      <c r="A573" s="90">
        <f>SUM(A563:A572)</f>
        <v>6</v>
      </c>
      <c r="B573" s="91"/>
      <c r="C573" s="74" t="str">
        <f>IF(B573&lt;1,"-",VLOOKUP(B573,HARGA01,2))</f>
        <v>-</v>
      </c>
      <c r="D573" s="74"/>
      <c r="E573" s="74"/>
      <c r="F573" s="74"/>
      <c r="G573" s="74"/>
      <c r="H573" s="96" t="str">
        <f>IF(B573&lt;1,"-",VLOOKUP(B573,HARGA01,3))</f>
        <v>-</v>
      </c>
      <c r="I573" s="96" t="str">
        <f>IF(H573="-","-",A573*H573)</f>
        <v>-</v>
      </c>
    </row>
    <row r="574" spans="1:9">
      <c r="A574" s="634" t="s">
        <v>23</v>
      </c>
      <c r="B574" s="635"/>
      <c r="C574" s="634"/>
      <c r="D574" s="634"/>
      <c r="E574" s="634"/>
      <c r="F574" s="634"/>
      <c r="G574" s="634"/>
      <c r="H574" s="636"/>
      <c r="I574" s="96">
        <f>SUM(I563:I573)</f>
        <v>4420000</v>
      </c>
    </row>
    <row r="575" spans="1:9">
      <c r="A575" s="28" t="s">
        <v>24</v>
      </c>
      <c r="B575" s="28"/>
      <c r="H575" s="637" t="s">
        <v>25</v>
      </c>
      <c r="I575" s="637"/>
    </row>
    <row r="578" spans="1:9">
      <c r="H578" s="94" t="s">
        <v>27</v>
      </c>
      <c r="I578" s="25"/>
    </row>
    <row r="579" spans="1:9" ht="27">
      <c r="A579" s="2" t="s">
        <v>0</v>
      </c>
      <c r="B579" s="2"/>
    </row>
    <row r="580" spans="1:9">
      <c r="A580" t="s">
        <v>1</v>
      </c>
      <c r="C580" t="s">
        <v>2</v>
      </c>
      <c r="H580" t="s">
        <v>3</v>
      </c>
      <c r="I580" s="85">
        <v>44058</v>
      </c>
    </row>
    <row r="581" spans="1:9">
      <c r="C581" t="s">
        <v>4</v>
      </c>
      <c r="H581" t="s">
        <v>5</v>
      </c>
      <c r="I581" t="s">
        <v>48</v>
      </c>
    </row>
    <row r="582" spans="1:9">
      <c r="C582" t="s">
        <v>7</v>
      </c>
      <c r="H582" s="86"/>
      <c r="I582" s="86" t="s">
        <v>49</v>
      </c>
    </row>
    <row r="583" spans="1:9">
      <c r="A583" t="s">
        <v>8</v>
      </c>
      <c r="C583" s="87" t="s">
        <v>9</v>
      </c>
      <c r="D583" s="87"/>
      <c r="E583" s="87"/>
      <c r="F583" s="87"/>
      <c r="G583" s="87"/>
      <c r="H583" t="s">
        <v>10</v>
      </c>
      <c r="I583" s="114" t="s">
        <v>11</v>
      </c>
    </row>
    <row r="584" spans="1:9">
      <c r="A584" t="s">
        <v>12</v>
      </c>
      <c r="C584" t="s">
        <v>13</v>
      </c>
      <c r="H584" t="s">
        <v>14</v>
      </c>
      <c r="I584" t="s">
        <v>11</v>
      </c>
    </row>
    <row r="585" spans="1:9">
      <c r="A585" s="88" t="s">
        <v>15</v>
      </c>
      <c r="B585" s="89"/>
      <c r="C585" s="74" t="s">
        <v>16</v>
      </c>
      <c r="D585" s="74" t="s">
        <v>81</v>
      </c>
      <c r="E585" s="74" t="s">
        <v>82</v>
      </c>
      <c r="F585" s="74" t="s">
        <v>83</v>
      </c>
      <c r="G585" s="74" t="s">
        <v>84</v>
      </c>
      <c r="H585" s="95" t="s">
        <v>85</v>
      </c>
      <c r="I585" s="95" t="s">
        <v>18</v>
      </c>
    </row>
    <row r="586" spans="1:9">
      <c r="A586" s="90">
        <v>15</v>
      </c>
      <c r="B586" s="91" t="s">
        <v>62</v>
      </c>
      <c r="C586" s="89" t="s">
        <v>101</v>
      </c>
      <c r="D586" s="112"/>
      <c r="E586" s="112"/>
      <c r="F586" s="112"/>
      <c r="G586" s="74"/>
      <c r="H586" s="96">
        <v>210000</v>
      </c>
      <c r="I586" s="96">
        <f t="shared" ref="I586:I593" si="40">IF(H586="-","-",A586*H586)</f>
        <v>3150000</v>
      </c>
    </row>
    <row r="587" spans="1:9">
      <c r="A587" s="90">
        <v>12</v>
      </c>
      <c r="B587" s="91"/>
      <c r="C587" s="89" t="s">
        <v>102</v>
      </c>
      <c r="D587" s="112"/>
      <c r="E587" s="112"/>
      <c r="F587" s="112"/>
      <c r="G587" s="74"/>
      <c r="H587" s="96">
        <v>85000</v>
      </c>
      <c r="I587" s="96">
        <f t="shared" si="40"/>
        <v>1020000</v>
      </c>
    </row>
    <row r="588" spans="1:9">
      <c r="A588" s="90">
        <v>20</v>
      </c>
      <c r="B588" s="91"/>
      <c r="C588" s="89" t="s">
        <v>103</v>
      </c>
      <c r="D588" s="112"/>
      <c r="E588" s="112"/>
      <c r="F588" s="112"/>
      <c r="G588" s="74"/>
      <c r="H588" s="96">
        <v>17000</v>
      </c>
      <c r="I588" s="96">
        <f t="shared" si="40"/>
        <v>340000</v>
      </c>
    </row>
    <row r="589" spans="1:9">
      <c r="A589" s="90"/>
      <c r="B589" s="91"/>
      <c r="C589" s="89"/>
      <c r="D589" s="112"/>
      <c r="E589" s="112"/>
      <c r="F589" s="112"/>
      <c r="G589" s="74"/>
      <c r="H589" s="75"/>
      <c r="I589" s="96">
        <f t="shared" si="40"/>
        <v>0</v>
      </c>
    </row>
    <row r="590" spans="1:9">
      <c r="A590" s="90"/>
      <c r="B590" s="91"/>
      <c r="C590" s="89"/>
      <c r="D590" s="112"/>
      <c r="E590" s="112"/>
      <c r="F590" s="112"/>
      <c r="G590" s="74"/>
      <c r="H590" s="75"/>
      <c r="I590" s="96">
        <f t="shared" si="40"/>
        <v>0</v>
      </c>
    </row>
    <row r="591" spans="1:9">
      <c r="A591" s="90"/>
      <c r="B591" s="91"/>
      <c r="C591" s="89"/>
      <c r="D591" s="112"/>
      <c r="E591" s="112"/>
      <c r="F591" s="112"/>
      <c r="G591" s="74"/>
      <c r="H591" s="75"/>
      <c r="I591" s="96">
        <f t="shared" si="40"/>
        <v>0</v>
      </c>
    </row>
    <row r="592" spans="1:9">
      <c r="A592" s="90"/>
      <c r="B592" s="91"/>
      <c r="C592" s="89"/>
      <c r="D592" s="112"/>
      <c r="E592" s="112"/>
      <c r="F592" s="112"/>
      <c r="G592" s="74"/>
      <c r="H592" s="75"/>
      <c r="I592" s="96">
        <f t="shared" si="40"/>
        <v>0</v>
      </c>
    </row>
    <row r="593" spans="1:9">
      <c r="A593" s="90"/>
      <c r="B593" s="91"/>
      <c r="C593" s="74"/>
      <c r="D593" s="112"/>
      <c r="E593" s="112"/>
      <c r="F593" s="112"/>
      <c r="G593" s="74"/>
      <c r="H593" s="75"/>
      <c r="I593" s="96">
        <f t="shared" si="40"/>
        <v>0</v>
      </c>
    </row>
    <row r="594" spans="1:9">
      <c r="A594" s="111"/>
      <c r="B594" s="106"/>
      <c r="C594" s="74"/>
      <c r="D594" s="74"/>
      <c r="E594" s="74"/>
      <c r="F594" s="74"/>
      <c r="G594" s="74"/>
      <c r="H594" s="75"/>
      <c r="I594" s="96"/>
    </row>
    <row r="595" spans="1:9">
      <c r="A595" s="90"/>
      <c r="B595" s="91"/>
      <c r="C595" s="74" t="str">
        <f>IF(B595&lt;1,"-",VLOOKUP(B595,HARGA01,2))</f>
        <v>-</v>
      </c>
      <c r="D595" s="74"/>
      <c r="E595" s="74"/>
      <c r="F595" s="74"/>
      <c r="G595" s="74"/>
      <c r="H595" s="96" t="str">
        <f>IF(B595&lt;1,"-",VLOOKUP(B595,HARGA01,3))</f>
        <v>-</v>
      </c>
      <c r="I595" s="96" t="str">
        <f>IF(H595="-","-",A595*H595)</f>
        <v>-</v>
      </c>
    </row>
    <row r="596" spans="1:9">
      <c r="A596" s="90">
        <f>SUM(A586:A595)</f>
        <v>47</v>
      </c>
      <c r="B596" s="91"/>
      <c r="C596" s="74" t="str">
        <f>IF(B596&lt;1,"-",VLOOKUP(B596,HARGA01,2))</f>
        <v>-</v>
      </c>
      <c r="D596" s="74"/>
      <c r="E596" s="74"/>
      <c r="F596" s="74"/>
      <c r="G596" s="74"/>
      <c r="H596" s="96" t="str">
        <f>IF(B596&lt;1,"-",VLOOKUP(B596,HARGA01,3))</f>
        <v>-</v>
      </c>
      <c r="I596" s="96" t="str">
        <f>IF(H596="-","-",A596*H596)</f>
        <v>-</v>
      </c>
    </row>
    <row r="597" spans="1:9">
      <c r="A597" s="634" t="s">
        <v>23</v>
      </c>
      <c r="B597" s="635"/>
      <c r="C597" s="634"/>
      <c r="D597" s="634"/>
      <c r="E597" s="634"/>
      <c r="F597" s="634"/>
      <c r="G597" s="634"/>
      <c r="H597" s="636"/>
      <c r="I597" s="96">
        <f>SUM(I586:I596)</f>
        <v>4510000</v>
      </c>
    </row>
    <row r="598" spans="1:9">
      <c r="A598" s="28" t="s">
        <v>24</v>
      </c>
      <c r="B598" s="28"/>
      <c r="H598" s="637" t="s">
        <v>25</v>
      </c>
      <c r="I598" s="637"/>
    </row>
    <row r="601" spans="1:9">
      <c r="H601" s="94" t="s">
        <v>27</v>
      </c>
      <c r="I601" s="25"/>
    </row>
    <row r="603" spans="1:9" ht="27">
      <c r="A603" s="2" t="s">
        <v>0</v>
      </c>
      <c r="B603" s="2"/>
    </row>
    <row r="604" spans="1:9">
      <c r="A604" t="s">
        <v>1</v>
      </c>
      <c r="C604" t="s">
        <v>2</v>
      </c>
      <c r="H604" t="s">
        <v>3</v>
      </c>
      <c r="I604" s="85">
        <v>44100</v>
      </c>
    </row>
    <row r="605" spans="1:9">
      <c r="C605" t="s">
        <v>4</v>
      </c>
      <c r="H605" t="s">
        <v>5</v>
      </c>
      <c r="I605" t="s">
        <v>48</v>
      </c>
    </row>
    <row r="606" spans="1:9">
      <c r="C606" t="s">
        <v>7</v>
      </c>
      <c r="H606" s="86"/>
      <c r="I606" s="86" t="s">
        <v>49</v>
      </c>
    </row>
    <row r="607" spans="1:9">
      <c r="A607" t="s">
        <v>8</v>
      </c>
      <c r="C607" s="87" t="s">
        <v>9</v>
      </c>
      <c r="D607" s="87"/>
      <c r="E607" s="87"/>
      <c r="F607" s="87"/>
      <c r="G607" s="87"/>
      <c r="H607" t="s">
        <v>10</v>
      </c>
      <c r="I607" s="114" t="s">
        <v>11</v>
      </c>
    </row>
    <row r="608" spans="1:9">
      <c r="A608" t="s">
        <v>12</v>
      </c>
      <c r="C608" t="s">
        <v>13</v>
      </c>
      <c r="H608" t="s">
        <v>14</v>
      </c>
      <c r="I608" t="s">
        <v>11</v>
      </c>
    </row>
    <row r="609" spans="1:9">
      <c r="A609" s="88" t="s">
        <v>15</v>
      </c>
      <c r="B609" s="89"/>
      <c r="C609" s="74" t="s">
        <v>16</v>
      </c>
      <c r="D609" s="74" t="s">
        <v>81</v>
      </c>
      <c r="E609" s="74" t="s">
        <v>82</v>
      </c>
      <c r="F609" s="74" t="s">
        <v>83</v>
      </c>
      <c r="G609" s="74" t="s">
        <v>84</v>
      </c>
      <c r="H609" s="95" t="s">
        <v>85</v>
      </c>
      <c r="I609" s="95" t="s">
        <v>18</v>
      </c>
    </row>
    <row r="610" spans="1:9">
      <c r="A610" s="90">
        <v>10</v>
      </c>
      <c r="B610" s="91"/>
      <c r="C610" s="89" t="s">
        <v>104</v>
      </c>
      <c r="D610" s="112">
        <v>200</v>
      </c>
      <c r="E610" s="112">
        <v>120</v>
      </c>
      <c r="F610" s="112">
        <v>20</v>
      </c>
      <c r="G610" s="74">
        <v>1300</v>
      </c>
      <c r="H610" s="96">
        <f t="shared" ref="H610:H615" si="41">G610*F610*E610*D610/1000</f>
        <v>624000</v>
      </c>
      <c r="I610" s="96">
        <f t="shared" ref="I610:I617" si="42">IF(H610="-","-",A610*H610)</f>
        <v>6240000</v>
      </c>
    </row>
    <row r="611" spans="1:9">
      <c r="A611" s="90">
        <v>10</v>
      </c>
      <c r="B611" s="91"/>
      <c r="C611" s="89" t="s">
        <v>104</v>
      </c>
      <c r="D611" s="112">
        <v>200</v>
      </c>
      <c r="E611" s="112">
        <v>140</v>
      </c>
      <c r="F611" s="112">
        <v>20</v>
      </c>
      <c r="G611" s="74">
        <v>1300</v>
      </c>
      <c r="H611" s="96">
        <f t="shared" si="41"/>
        <v>728000</v>
      </c>
      <c r="I611" s="96">
        <f t="shared" si="42"/>
        <v>7280000</v>
      </c>
    </row>
    <row r="612" spans="1:9">
      <c r="A612" s="90">
        <v>5</v>
      </c>
      <c r="B612" s="91"/>
      <c r="C612" s="89" t="s">
        <v>104</v>
      </c>
      <c r="D612" s="112">
        <v>200</v>
      </c>
      <c r="E612" s="112">
        <v>150</v>
      </c>
      <c r="F612" s="112">
        <v>20</v>
      </c>
      <c r="G612" s="74">
        <v>1300</v>
      </c>
      <c r="H612" s="96">
        <f t="shared" si="41"/>
        <v>780000</v>
      </c>
      <c r="I612" s="96">
        <f t="shared" si="42"/>
        <v>3900000</v>
      </c>
    </row>
    <row r="613" spans="1:9">
      <c r="A613" s="90">
        <v>10</v>
      </c>
      <c r="B613" s="91"/>
      <c r="C613" s="89" t="s">
        <v>104</v>
      </c>
      <c r="D613" s="112">
        <v>200</v>
      </c>
      <c r="E613" s="112">
        <v>160</v>
      </c>
      <c r="F613" s="112">
        <v>20</v>
      </c>
      <c r="G613" s="74">
        <v>1300</v>
      </c>
      <c r="H613" s="96">
        <f t="shared" si="41"/>
        <v>832000</v>
      </c>
      <c r="I613" s="96">
        <f t="shared" si="42"/>
        <v>8320000</v>
      </c>
    </row>
    <row r="614" spans="1:9">
      <c r="A614" s="90">
        <v>4</v>
      </c>
      <c r="B614" s="91"/>
      <c r="C614" s="89" t="s">
        <v>104</v>
      </c>
      <c r="D614" s="112">
        <v>200</v>
      </c>
      <c r="E614" s="112">
        <v>160</v>
      </c>
      <c r="F614" s="112">
        <v>30</v>
      </c>
      <c r="G614" s="74">
        <v>1300</v>
      </c>
      <c r="H614" s="96">
        <f t="shared" si="41"/>
        <v>1248000</v>
      </c>
      <c r="I614" s="96">
        <f t="shared" si="42"/>
        <v>4992000</v>
      </c>
    </row>
    <row r="615" spans="1:9">
      <c r="A615" s="90">
        <v>6</v>
      </c>
      <c r="B615" s="91"/>
      <c r="C615" s="89" t="s">
        <v>104</v>
      </c>
      <c r="D615" s="112">
        <v>200</v>
      </c>
      <c r="E615" s="112">
        <v>180</v>
      </c>
      <c r="F615" s="112">
        <v>20</v>
      </c>
      <c r="G615" s="74">
        <v>1300</v>
      </c>
      <c r="H615" s="96">
        <f t="shared" si="41"/>
        <v>936000</v>
      </c>
      <c r="I615" s="96">
        <f t="shared" si="42"/>
        <v>5616000</v>
      </c>
    </row>
    <row r="616" spans="1:9">
      <c r="A616" s="90"/>
      <c r="B616" s="91" t="s">
        <v>105</v>
      </c>
      <c r="C616" s="89"/>
      <c r="D616" s="112"/>
      <c r="E616" s="112"/>
      <c r="F616" s="112"/>
      <c r="G616" s="74"/>
      <c r="H616" s="75"/>
      <c r="I616" s="96">
        <f t="shared" si="42"/>
        <v>0</v>
      </c>
    </row>
    <row r="617" spans="1:9">
      <c r="A617" s="90"/>
      <c r="B617" s="91"/>
      <c r="C617" s="74"/>
      <c r="D617" s="112"/>
      <c r="E617" s="112"/>
      <c r="F617" s="112"/>
      <c r="G617" s="74"/>
      <c r="H617" s="75"/>
      <c r="I617" s="96">
        <f t="shared" si="42"/>
        <v>0</v>
      </c>
    </row>
    <row r="618" spans="1:9">
      <c r="A618" s="111"/>
      <c r="B618" s="106"/>
      <c r="C618" s="74"/>
      <c r="D618" s="74"/>
      <c r="E618" s="74"/>
      <c r="F618" s="74"/>
      <c r="G618" s="74"/>
      <c r="H618" s="75"/>
      <c r="I618" s="96"/>
    </row>
    <row r="619" spans="1:9">
      <c r="A619" s="90"/>
      <c r="B619" s="91"/>
      <c r="C619" s="74" t="str">
        <f>IF(B619&lt;1,"-",VLOOKUP(B619,HARGA01,2))</f>
        <v>-</v>
      </c>
      <c r="D619" s="74"/>
      <c r="E619" s="74"/>
      <c r="F619" s="74"/>
      <c r="G619" s="74"/>
      <c r="H619" s="96" t="str">
        <f>IF(B619&lt;1,"-",VLOOKUP(B619,HARGA01,3))</f>
        <v>-</v>
      </c>
      <c r="I619" s="96" t="str">
        <f>IF(H619="-","-",A619*H619)</f>
        <v>-</v>
      </c>
    </row>
    <row r="620" spans="1:9">
      <c r="A620" s="90">
        <f>SUM(A610:A619)</f>
        <v>45</v>
      </c>
      <c r="B620" s="91"/>
      <c r="C620" s="74" t="str">
        <f>IF(B620&lt;1,"-",VLOOKUP(B620,HARGA01,2))</f>
        <v>-</v>
      </c>
      <c r="D620" s="74"/>
      <c r="E620" s="74"/>
      <c r="F620" s="74"/>
      <c r="G620" s="74"/>
      <c r="H620" s="96" t="str">
        <f>IF(B620&lt;1,"-",VLOOKUP(B620,HARGA01,3))</f>
        <v>-</v>
      </c>
      <c r="I620" s="96" t="str">
        <f>IF(H620="-","-",A620*H620)</f>
        <v>-</v>
      </c>
    </row>
    <row r="621" spans="1:9">
      <c r="A621" s="634" t="s">
        <v>23</v>
      </c>
      <c r="B621" s="635"/>
      <c r="C621" s="634"/>
      <c r="D621" s="634"/>
      <c r="E621" s="634"/>
      <c r="F621" s="634"/>
      <c r="G621" s="634"/>
      <c r="H621" s="636"/>
      <c r="I621" s="96">
        <f>SUM(I610:I620)</f>
        <v>36348000</v>
      </c>
    </row>
    <row r="622" spans="1:9">
      <c r="A622" s="28" t="s">
        <v>24</v>
      </c>
      <c r="B622" s="28"/>
      <c r="H622" s="637" t="s">
        <v>25</v>
      </c>
      <c r="I622" s="637"/>
    </row>
    <row r="625" spans="1:9">
      <c r="H625" s="94" t="s">
        <v>27</v>
      </c>
      <c r="I625" s="25"/>
    </row>
    <row r="626" spans="1:9" ht="27">
      <c r="A626" s="2" t="s">
        <v>0</v>
      </c>
      <c r="B626" s="2"/>
    </row>
    <row r="627" spans="1:9">
      <c r="A627" t="s">
        <v>1</v>
      </c>
      <c r="C627" t="s">
        <v>2</v>
      </c>
      <c r="D627" t="s">
        <v>3</v>
      </c>
      <c r="E627" s="85">
        <v>44103</v>
      </c>
    </row>
    <row r="628" spans="1:9">
      <c r="C628" t="s">
        <v>4</v>
      </c>
      <c r="D628" t="s">
        <v>5</v>
      </c>
      <c r="E628" t="s">
        <v>48</v>
      </c>
    </row>
    <row r="629" spans="1:9">
      <c r="C629" t="s">
        <v>7</v>
      </c>
      <c r="D629" s="86"/>
      <c r="E629" s="86" t="s">
        <v>49</v>
      </c>
    </row>
    <row r="630" spans="1:9">
      <c r="A630" t="s">
        <v>8</v>
      </c>
      <c r="C630" s="87" t="s">
        <v>9</v>
      </c>
      <c r="D630" t="s">
        <v>10</v>
      </c>
      <c r="E630" s="114" t="s">
        <v>11</v>
      </c>
    </row>
    <row r="631" spans="1:9">
      <c r="A631" t="s">
        <v>12</v>
      </c>
      <c r="C631" t="s">
        <v>13</v>
      </c>
      <c r="D631" t="s">
        <v>14</v>
      </c>
      <c r="E631" t="s">
        <v>11</v>
      </c>
    </row>
    <row r="632" spans="1:9">
      <c r="A632" s="88" t="s">
        <v>15</v>
      </c>
      <c r="B632" s="89"/>
      <c r="C632" s="98" t="s">
        <v>16</v>
      </c>
      <c r="D632" s="95" t="s">
        <v>17</v>
      </c>
      <c r="E632" s="95" t="s">
        <v>18</v>
      </c>
    </row>
    <row r="633" spans="1:9">
      <c r="A633" s="100">
        <v>20</v>
      </c>
      <c r="B633" s="101"/>
      <c r="C633" s="74" t="s">
        <v>95</v>
      </c>
      <c r="D633" s="75"/>
      <c r="E633" s="96">
        <f t="shared" ref="E633:E639" si="43">IF(D633="-","-",A633*D633)</f>
        <v>0</v>
      </c>
    </row>
    <row r="634" spans="1:9">
      <c r="A634" s="103">
        <v>5</v>
      </c>
      <c r="B634" s="104"/>
      <c r="C634" s="74" t="s">
        <v>96</v>
      </c>
      <c r="D634" s="75"/>
      <c r="E634" s="96">
        <f t="shared" si="43"/>
        <v>0</v>
      </c>
    </row>
    <row r="635" spans="1:9">
      <c r="A635" s="103">
        <v>5</v>
      </c>
      <c r="B635" s="104"/>
      <c r="C635" s="74" t="s">
        <v>97</v>
      </c>
      <c r="D635" s="75"/>
      <c r="E635" s="96">
        <f t="shared" si="43"/>
        <v>0</v>
      </c>
    </row>
    <row r="636" spans="1:9">
      <c r="A636" s="103"/>
      <c r="B636" s="104"/>
      <c r="C636" s="74"/>
      <c r="D636" s="75"/>
      <c r="E636" s="96">
        <f t="shared" si="43"/>
        <v>0</v>
      </c>
    </row>
    <row r="637" spans="1:9">
      <c r="A637" s="103"/>
      <c r="B637" s="104"/>
      <c r="C637" s="74"/>
      <c r="D637" s="75"/>
      <c r="E637" s="96">
        <f t="shared" si="43"/>
        <v>0</v>
      </c>
    </row>
    <row r="638" spans="1:9">
      <c r="A638" s="103"/>
      <c r="B638" s="104">
        <v>14</v>
      </c>
      <c r="C638" s="74"/>
      <c r="D638" s="75"/>
      <c r="E638" s="96">
        <f t="shared" si="43"/>
        <v>0</v>
      </c>
    </row>
    <row r="639" spans="1:9">
      <c r="A639" s="108"/>
      <c r="B639" s="109"/>
      <c r="C639" s="74"/>
      <c r="D639" s="75"/>
      <c r="E639" s="96">
        <f t="shared" si="43"/>
        <v>0</v>
      </c>
    </row>
    <row r="640" spans="1:9">
      <c r="A640" s="103"/>
      <c r="B640" s="104"/>
      <c r="C640" s="74"/>
      <c r="D640" s="75"/>
      <c r="E640" s="96"/>
    </row>
    <row r="641" spans="1:9">
      <c r="A641" s="111"/>
      <c r="B641" s="106"/>
      <c r="C641" s="74"/>
      <c r="D641" s="75"/>
      <c r="E641" s="96"/>
    </row>
    <row r="642" spans="1:9">
      <c r="A642" s="90"/>
      <c r="B642" s="91"/>
      <c r="C642" s="88" t="str">
        <f>IF(B642&lt;1,"-",VLOOKUP(B642,HARGA01,2))</f>
        <v>-</v>
      </c>
      <c r="D642" s="96" t="str">
        <f>IF(B642&lt;1,"-",VLOOKUP(B642,HARGA01,3))</f>
        <v>-</v>
      </c>
      <c r="E642" s="96" t="str">
        <f>IF(D642="-","-",A642*D642)</f>
        <v>-</v>
      </c>
    </row>
    <row r="643" spans="1:9">
      <c r="A643" s="90">
        <f>SUM(A633:A642)</f>
        <v>30</v>
      </c>
      <c r="B643" s="91"/>
      <c r="C643" s="88" t="str">
        <f>IF(B643&lt;1,"-",VLOOKUP(B643,HARGA01,2))</f>
        <v>-</v>
      </c>
      <c r="D643" s="96" t="str">
        <f>IF(B643&lt;1,"-",VLOOKUP(B643,HARGA01,3))</f>
        <v>-</v>
      </c>
      <c r="E643" s="96" t="str">
        <f>IF(D643="-","-",A643*D643)</f>
        <v>-</v>
      </c>
    </row>
    <row r="644" spans="1:9">
      <c r="A644" s="634" t="s">
        <v>23</v>
      </c>
      <c r="B644" s="635"/>
      <c r="C644" s="634"/>
      <c r="D644" s="636"/>
      <c r="E644" s="96">
        <f>SUM(E633:E643)</f>
        <v>0</v>
      </c>
    </row>
    <row r="645" spans="1:9">
      <c r="A645" s="28" t="s">
        <v>24</v>
      </c>
      <c r="B645" s="28"/>
      <c r="D645" s="637" t="s">
        <v>25</v>
      </c>
      <c r="E645" s="637"/>
    </row>
    <row r="648" spans="1:9">
      <c r="D648" s="94" t="s">
        <v>27</v>
      </c>
      <c r="E648" s="25"/>
    </row>
    <row r="649" spans="1:9" ht="27">
      <c r="A649" s="2" t="s">
        <v>0</v>
      </c>
      <c r="B649" s="2"/>
    </row>
    <row r="650" spans="1:9">
      <c r="A650" t="s">
        <v>1</v>
      </c>
      <c r="C650" t="s">
        <v>2</v>
      </c>
      <c r="H650" t="s">
        <v>3</v>
      </c>
      <c r="I650" s="85">
        <v>44101</v>
      </c>
    </row>
    <row r="651" spans="1:9">
      <c r="C651" t="s">
        <v>4</v>
      </c>
      <c r="H651" t="s">
        <v>5</v>
      </c>
      <c r="I651" t="s">
        <v>48</v>
      </c>
    </row>
    <row r="652" spans="1:9">
      <c r="C652" t="s">
        <v>7</v>
      </c>
      <c r="H652" s="86"/>
      <c r="I652" s="86" t="s">
        <v>49</v>
      </c>
    </row>
    <row r="653" spans="1:9">
      <c r="A653" t="s">
        <v>8</v>
      </c>
      <c r="C653" s="87" t="s">
        <v>9</v>
      </c>
      <c r="D653" s="87"/>
      <c r="E653" s="87"/>
      <c r="F653" s="87"/>
      <c r="G653" s="87"/>
      <c r="H653" t="s">
        <v>10</v>
      </c>
      <c r="I653" s="114" t="s">
        <v>11</v>
      </c>
    </row>
    <row r="654" spans="1:9">
      <c r="A654" t="s">
        <v>12</v>
      </c>
      <c r="C654" t="s">
        <v>13</v>
      </c>
      <c r="H654" t="s">
        <v>14</v>
      </c>
      <c r="I654" t="s">
        <v>11</v>
      </c>
    </row>
    <row r="655" spans="1:9">
      <c r="A655" s="88" t="s">
        <v>15</v>
      </c>
      <c r="B655" s="89"/>
      <c r="C655" s="74" t="s">
        <v>16</v>
      </c>
      <c r="D655" s="74" t="s">
        <v>81</v>
      </c>
      <c r="E655" s="74" t="s">
        <v>82</v>
      </c>
      <c r="F655" s="74" t="s">
        <v>83</v>
      </c>
      <c r="G655" s="74" t="s">
        <v>84</v>
      </c>
      <c r="H655" s="95" t="s">
        <v>85</v>
      </c>
      <c r="I655" s="95" t="s">
        <v>18</v>
      </c>
    </row>
    <row r="656" spans="1:9">
      <c r="A656" s="90">
        <v>5</v>
      </c>
      <c r="B656" s="91"/>
      <c r="C656" s="89" t="s">
        <v>106</v>
      </c>
      <c r="D656" s="112"/>
      <c r="E656" s="112"/>
      <c r="F656" s="112"/>
      <c r="G656" s="74"/>
      <c r="H656" s="96">
        <v>245000</v>
      </c>
      <c r="I656" s="96">
        <f>IF(H656="-","-",A656*H656)</f>
        <v>1225000</v>
      </c>
    </row>
    <row r="657" spans="1:9">
      <c r="A657" s="90">
        <v>5</v>
      </c>
      <c r="B657" s="91"/>
      <c r="C657" s="89" t="s">
        <v>107</v>
      </c>
      <c r="D657" s="112"/>
      <c r="E657" s="112"/>
      <c r="F657" s="112"/>
      <c r="G657" s="74"/>
      <c r="H657" s="96">
        <v>260000</v>
      </c>
      <c r="I657" s="96">
        <f>IF(H657="-","-",A657*H657)</f>
        <v>1300000</v>
      </c>
    </row>
    <row r="658" spans="1:9">
      <c r="A658" s="90">
        <v>20</v>
      </c>
      <c r="B658" s="91"/>
      <c r="C658" s="89" t="s">
        <v>108</v>
      </c>
      <c r="D658" s="112"/>
      <c r="E658" s="112"/>
      <c r="F658" s="112"/>
      <c r="G658" s="74"/>
      <c r="H658" s="96">
        <v>32000</v>
      </c>
      <c r="I658" s="96">
        <f>IF(H658="-","-",A658*H658)</f>
        <v>640000</v>
      </c>
    </row>
    <row r="659" spans="1:9">
      <c r="A659" s="90"/>
      <c r="B659" s="91"/>
      <c r="C659" s="89"/>
      <c r="D659" s="112"/>
      <c r="E659" s="112"/>
      <c r="F659" s="112"/>
      <c r="G659" s="74"/>
      <c r="H659" s="96"/>
      <c r="I659" s="96">
        <f>IF(H659="-","-",A659*H659)</f>
        <v>0</v>
      </c>
    </row>
    <row r="660" spans="1:9">
      <c r="A660" s="90"/>
      <c r="B660" s="91"/>
      <c r="C660" s="89"/>
      <c r="D660" s="112"/>
      <c r="E660" s="112"/>
      <c r="F660" s="112"/>
      <c r="G660" s="74"/>
      <c r="H660" s="96"/>
      <c r="I660" s="96">
        <f>IF(H660="-","-",A660*H660)</f>
        <v>0</v>
      </c>
    </row>
    <row r="661" spans="1:9">
      <c r="A661" s="90"/>
      <c r="B661" s="91"/>
      <c r="C661" s="89"/>
      <c r="D661" s="112"/>
      <c r="E661" s="112"/>
      <c r="F661" s="112"/>
      <c r="G661" s="74"/>
      <c r="H661" s="96"/>
      <c r="I661" s="96"/>
    </row>
    <row r="662" spans="1:9">
      <c r="A662" s="90"/>
      <c r="B662" s="91" t="s">
        <v>105</v>
      </c>
      <c r="C662" s="89"/>
      <c r="D662" s="112"/>
      <c r="E662" s="112"/>
      <c r="F662" s="112"/>
      <c r="G662" s="74"/>
      <c r="H662" s="75"/>
      <c r="I662" s="96"/>
    </row>
    <row r="663" spans="1:9">
      <c r="A663" s="90"/>
      <c r="B663" s="91"/>
      <c r="C663" s="74"/>
      <c r="D663" s="112"/>
      <c r="E663" s="112"/>
      <c r="F663" s="112"/>
      <c r="G663" s="74"/>
      <c r="H663" s="75"/>
      <c r="I663" s="96"/>
    </row>
    <row r="664" spans="1:9">
      <c r="A664" s="111"/>
      <c r="B664" s="106"/>
      <c r="C664" s="74"/>
      <c r="D664" s="74"/>
      <c r="E664" s="74"/>
      <c r="F664" s="74"/>
      <c r="G664" s="74"/>
      <c r="H664" s="75"/>
      <c r="I664" s="96"/>
    </row>
    <row r="665" spans="1:9">
      <c r="A665" s="90"/>
      <c r="B665" s="91"/>
      <c r="C665" s="74" t="str">
        <f>IF(B665&lt;1,"-",VLOOKUP(B665,HARGA01,2))</f>
        <v>-</v>
      </c>
      <c r="D665" s="74"/>
      <c r="E665" s="74"/>
      <c r="F665" s="74"/>
      <c r="G665" s="74"/>
      <c r="H665" s="96" t="str">
        <f>IF(B665&lt;1,"-",VLOOKUP(B665,HARGA01,3))</f>
        <v>-</v>
      </c>
      <c r="I665" s="96" t="str">
        <f>IF(H665="-","-",A665*H665)</f>
        <v>-</v>
      </c>
    </row>
    <row r="666" spans="1:9">
      <c r="A666" s="90">
        <f>SUM(A656:A665)</f>
        <v>30</v>
      </c>
      <c r="B666" s="91"/>
      <c r="C666" s="74" t="str">
        <f>IF(B666&lt;1,"-",VLOOKUP(B666,HARGA01,2))</f>
        <v>-</v>
      </c>
      <c r="D666" s="74"/>
      <c r="E666" s="74"/>
      <c r="F666" s="74"/>
      <c r="G666" s="74"/>
      <c r="H666" s="96" t="str">
        <f>IF(B666&lt;1,"-",VLOOKUP(B666,HARGA01,3))</f>
        <v>-</v>
      </c>
      <c r="I666" s="96" t="str">
        <f>IF(H666="-","-",A666*H666)</f>
        <v>-</v>
      </c>
    </row>
    <row r="667" spans="1:9">
      <c r="A667" s="634" t="s">
        <v>23</v>
      </c>
      <c r="B667" s="635"/>
      <c r="C667" s="634"/>
      <c r="D667" s="634"/>
      <c r="E667" s="634"/>
      <c r="F667" s="634"/>
      <c r="G667" s="634"/>
      <c r="H667" s="636"/>
      <c r="I667" s="96">
        <f>SUM(I656:I666)</f>
        <v>3165000</v>
      </c>
    </row>
    <row r="668" spans="1:9">
      <c r="A668" s="28" t="s">
        <v>24</v>
      </c>
      <c r="B668" s="28"/>
      <c r="H668" s="637" t="s">
        <v>25</v>
      </c>
      <c r="I668" s="637"/>
    </row>
    <row r="671" spans="1:9" ht="27">
      <c r="A671" s="2" t="s">
        <v>0</v>
      </c>
      <c r="B671" s="2"/>
    </row>
    <row r="672" spans="1:9">
      <c r="A672" t="s">
        <v>1</v>
      </c>
      <c r="C672" t="s">
        <v>2</v>
      </c>
      <c r="H672" t="s">
        <v>3</v>
      </c>
      <c r="I672" s="85">
        <v>44105</v>
      </c>
    </row>
    <row r="673" spans="1:9">
      <c r="C673" t="s">
        <v>4</v>
      </c>
      <c r="H673" t="s">
        <v>5</v>
      </c>
      <c r="I673" t="s">
        <v>48</v>
      </c>
    </row>
    <row r="674" spans="1:9">
      <c r="C674" t="s">
        <v>7</v>
      </c>
      <c r="H674" s="86"/>
      <c r="I674" s="86" t="s">
        <v>49</v>
      </c>
    </row>
    <row r="675" spans="1:9">
      <c r="A675" t="s">
        <v>8</v>
      </c>
      <c r="C675" s="87" t="s">
        <v>9</v>
      </c>
      <c r="D675" s="87"/>
      <c r="E675" s="87"/>
      <c r="F675" s="87"/>
      <c r="G675" s="87"/>
      <c r="H675" t="s">
        <v>10</v>
      </c>
      <c r="I675" s="114" t="s">
        <v>11</v>
      </c>
    </row>
    <row r="676" spans="1:9">
      <c r="A676" t="s">
        <v>12</v>
      </c>
      <c r="C676" t="s">
        <v>13</v>
      </c>
      <c r="H676" t="s">
        <v>14</v>
      </c>
      <c r="I676" t="s">
        <v>11</v>
      </c>
    </row>
    <row r="677" spans="1:9">
      <c r="A677" s="88" t="s">
        <v>15</v>
      </c>
      <c r="B677" s="89"/>
      <c r="C677" s="74" t="s">
        <v>16</v>
      </c>
      <c r="D677" s="74" t="s">
        <v>81</v>
      </c>
      <c r="E677" s="74" t="s">
        <v>82</v>
      </c>
      <c r="F677" s="74" t="s">
        <v>83</v>
      </c>
      <c r="G677" s="74" t="s">
        <v>84</v>
      </c>
      <c r="H677" s="95" t="s">
        <v>85</v>
      </c>
      <c r="I677" s="95" t="s">
        <v>18</v>
      </c>
    </row>
    <row r="678" spans="1:9">
      <c r="A678" s="90">
        <v>1</v>
      </c>
      <c r="B678" s="91"/>
      <c r="C678" s="89" t="s">
        <v>109</v>
      </c>
      <c r="D678" s="112">
        <v>200</v>
      </c>
      <c r="E678" s="112">
        <v>160</v>
      </c>
      <c r="F678" s="112">
        <v>20</v>
      </c>
      <c r="G678" s="74">
        <v>1300</v>
      </c>
      <c r="H678" s="96">
        <f>G678*F678*E678*D678/1000</f>
        <v>832000</v>
      </c>
      <c r="I678" s="96">
        <f>IF(H678="-","-",A678*H678)</f>
        <v>832000</v>
      </c>
    </row>
    <row r="679" spans="1:9">
      <c r="A679" s="90"/>
      <c r="B679" s="91"/>
      <c r="C679" s="89"/>
      <c r="D679" s="112"/>
      <c r="E679" s="112"/>
      <c r="F679" s="112"/>
      <c r="G679" s="74"/>
      <c r="H679" s="96"/>
      <c r="I679" s="96">
        <f>IF(H679="-","-",A679*H679)</f>
        <v>0</v>
      </c>
    </row>
    <row r="680" spans="1:9">
      <c r="A680" s="90"/>
      <c r="B680" s="91"/>
      <c r="C680" s="89"/>
      <c r="D680" s="112"/>
      <c r="E680" s="112"/>
      <c r="F680" s="112"/>
      <c r="G680" s="74"/>
      <c r="H680" s="96"/>
      <c r="I680" s="96">
        <f>IF(H680="-","-",A680*H680)</f>
        <v>0</v>
      </c>
    </row>
    <row r="681" spans="1:9">
      <c r="A681" s="90"/>
      <c r="B681" s="91"/>
      <c r="C681" s="89"/>
      <c r="D681" s="112"/>
      <c r="E681" s="112"/>
      <c r="F681" s="112"/>
      <c r="G681" s="74"/>
      <c r="H681" s="96"/>
      <c r="I681" s="96">
        <f>IF(H681="-","-",A681*H681)</f>
        <v>0</v>
      </c>
    </row>
    <row r="682" spans="1:9">
      <c r="A682" s="90"/>
      <c r="B682" s="91"/>
      <c r="C682" s="89"/>
      <c r="D682" s="112"/>
      <c r="E682" s="112"/>
      <c r="F682" s="112"/>
      <c r="G682" s="74"/>
      <c r="H682" s="96"/>
      <c r="I682" s="96">
        <f>IF(H682="-","-",A682*H682)</f>
        <v>0</v>
      </c>
    </row>
    <row r="683" spans="1:9">
      <c r="A683" s="90"/>
      <c r="B683" s="91"/>
      <c r="C683" s="89"/>
      <c r="D683" s="112"/>
      <c r="E683" s="112"/>
      <c r="F683" s="112"/>
      <c r="G683" s="74"/>
      <c r="H683" s="96"/>
      <c r="I683" s="96"/>
    </row>
    <row r="684" spans="1:9">
      <c r="A684" s="90"/>
      <c r="B684" s="91" t="s">
        <v>105</v>
      </c>
      <c r="C684" s="89"/>
      <c r="D684" s="112"/>
      <c r="E684" s="112"/>
      <c r="F684" s="112"/>
      <c r="G684" s="74"/>
      <c r="H684" s="75"/>
      <c r="I684" s="96"/>
    </row>
    <row r="685" spans="1:9">
      <c r="A685" s="90"/>
      <c r="B685" s="91"/>
      <c r="C685" s="74"/>
      <c r="D685" s="112"/>
      <c r="E685" s="112"/>
      <c r="F685" s="112"/>
      <c r="G685" s="74"/>
      <c r="H685" s="75"/>
      <c r="I685" s="96"/>
    </row>
    <row r="686" spans="1:9">
      <c r="A686" s="111"/>
      <c r="B686" s="106"/>
      <c r="C686" s="74"/>
      <c r="D686" s="74"/>
      <c r="E686" s="74"/>
      <c r="F686" s="74"/>
      <c r="G686" s="74"/>
      <c r="H686" s="75"/>
      <c r="I686" s="96"/>
    </row>
    <row r="687" spans="1:9">
      <c r="A687" s="90"/>
      <c r="B687" s="91"/>
      <c r="C687" s="74" t="str">
        <f>IF(B687&lt;1,"-",VLOOKUP(B687,HARGA01,2))</f>
        <v>-</v>
      </c>
      <c r="D687" s="74"/>
      <c r="E687" s="74"/>
      <c r="F687" s="74"/>
      <c r="G687" s="74"/>
      <c r="H687" s="96" t="str">
        <f>IF(B687&lt;1,"-",VLOOKUP(B687,HARGA01,3))</f>
        <v>-</v>
      </c>
      <c r="I687" s="96" t="str">
        <f>IF(H687="-","-",A687*H687)</f>
        <v>-</v>
      </c>
    </row>
    <row r="688" spans="1:9">
      <c r="A688" s="90">
        <f>SUM(A678:A687)</f>
        <v>1</v>
      </c>
      <c r="B688" s="91"/>
      <c r="C688" s="74" t="str">
        <f>IF(B688&lt;1,"-",VLOOKUP(B688,HARGA01,2))</f>
        <v>-</v>
      </c>
      <c r="D688" s="74"/>
      <c r="E688" s="74"/>
      <c r="F688" s="74"/>
      <c r="G688" s="74"/>
      <c r="H688" s="96" t="str">
        <f>IF(B688&lt;1,"-",VLOOKUP(B688,HARGA01,3))</f>
        <v>-</v>
      </c>
      <c r="I688" s="96" t="str">
        <f>IF(H688="-","-",A688*H688)</f>
        <v>-</v>
      </c>
    </row>
    <row r="689" spans="1:9">
      <c r="A689" s="634" t="s">
        <v>23</v>
      </c>
      <c r="B689" s="635"/>
      <c r="C689" s="634"/>
      <c r="D689" s="634"/>
      <c r="E689" s="634"/>
      <c r="F689" s="634"/>
      <c r="G689" s="634"/>
      <c r="H689" s="636"/>
      <c r="I689" s="96">
        <f>SUM(I678:I688)</f>
        <v>832000</v>
      </c>
    </row>
    <row r="690" spans="1:9">
      <c r="A690" s="28" t="s">
        <v>24</v>
      </c>
      <c r="B690" s="28"/>
      <c r="H690" s="637" t="s">
        <v>25</v>
      </c>
      <c r="I690" s="637"/>
    </row>
    <row r="693" spans="1:9">
      <c r="H693" s="94" t="s">
        <v>27</v>
      </c>
      <c r="I693" s="25"/>
    </row>
    <row r="694" spans="1:9" ht="27">
      <c r="A694" s="2" t="s">
        <v>0</v>
      </c>
      <c r="B694" s="2"/>
    </row>
    <row r="695" spans="1:9">
      <c r="A695" t="s">
        <v>1</v>
      </c>
      <c r="C695" t="s">
        <v>2</v>
      </c>
      <c r="H695" t="s">
        <v>3</v>
      </c>
      <c r="I695" s="85">
        <v>44114</v>
      </c>
    </row>
    <row r="696" spans="1:9">
      <c r="C696" t="s">
        <v>4</v>
      </c>
      <c r="H696" t="s">
        <v>5</v>
      </c>
      <c r="I696" t="s">
        <v>48</v>
      </c>
    </row>
    <row r="697" spans="1:9">
      <c r="C697" t="s">
        <v>7</v>
      </c>
      <c r="H697" s="86"/>
      <c r="I697" s="86" t="s">
        <v>49</v>
      </c>
    </row>
    <row r="698" spans="1:9">
      <c r="A698" t="s">
        <v>8</v>
      </c>
      <c r="C698" s="87" t="s">
        <v>9</v>
      </c>
      <c r="D698" s="87"/>
      <c r="E698" s="87"/>
      <c r="F698" s="87"/>
      <c r="G698" s="87"/>
      <c r="H698" t="s">
        <v>10</v>
      </c>
      <c r="I698" s="114" t="s">
        <v>11</v>
      </c>
    </row>
    <row r="699" spans="1:9">
      <c r="A699" t="s">
        <v>12</v>
      </c>
      <c r="C699" t="s">
        <v>13</v>
      </c>
      <c r="H699" t="s">
        <v>14</v>
      </c>
      <c r="I699" t="s">
        <v>11</v>
      </c>
    </row>
    <row r="700" spans="1:9">
      <c r="A700" s="88" t="s">
        <v>15</v>
      </c>
      <c r="B700" s="89"/>
      <c r="C700" s="74" t="s">
        <v>16</v>
      </c>
      <c r="D700" s="74" t="s">
        <v>81</v>
      </c>
      <c r="E700" s="74" t="s">
        <v>82</v>
      </c>
      <c r="F700" s="74" t="s">
        <v>83</v>
      </c>
      <c r="G700" s="74" t="s">
        <v>84</v>
      </c>
      <c r="H700" s="95" t="s">
        <v>85</v>
      </c>
      <c r="I700" s="95" t="s">
        <v>18</v>
      </c>
    </row>
    <row r="701" spans="1:9">
      <c r="A701" s="90">
        <v>10</v>
      </c>
      <c r="B701" s="91"/>
      <c r="C701" s="89" t="s">
        <v>110</v>
      </c>
      <c r="D701" s="112">
        <v>200</v>
      </c>
      <c r="E701" s="112">
        <v>120</v>
      </c>
      <c r="F701" s="112">
        <v>20</v>
      </c>
      <c r="G701" s="74">
        <v>1495</v>
      </c>
      <c r="H701" s="96">
        <f t="shared" ref="H701:H706" si="44">G701*F701*E701*D701/1000</f>
        <v>717600</v>
      </c>
      <c r="I701" s="96">
        <f t="shared" ref="I701:I706" si="45">IF(H701="-","-",A701*H701)</f>
        <v>7176000</v>
      </c>
    </row>
    <row r="702" spans="1:9">
      <c r="A702" s="90">
        <v>10</v>
      </c>
      <c r="B702" s="91"/>
      <c r="C702" s="89" t="s">
        <v>110</v>
      </c>
      <c r="D702" s="112">
        <v>200</v>
      </c>
      <c r="E702" s="112">
        <v>140</v>
      </c>
      <c r="F702" s="112">
        <v>20</v>
      </c>
      <c r="G702" s="74">
        <v>1495</v>
      </c>
      <c r="H702" s="96">
        <f t="shared" si="44"/>
        <v>837200</v>
      </c>
      <c r="I702" s="96">
        <f t="shared" si="45"/>
        <v>8372000</v>
      </c>
    </row>
    <row r="703" spans="1:9">
      <c r="A703" s="90">
        <v>10</v>
      </c>
      <c r="B703" s="91"/>
      <c r="C703" s="89" t="s">
        <v>110</v>
      </c>
      <c r="D703" s="112">
        <v>200</v>
      </c>
      <c r="E703" s="112">
        <v>150</v>
      </c>
      <c r="F703" s="112">
        <v>20</v>
      </c>
      <c r="G703" s="74">
        <v>1495</v>
      </c>
      <c r="H703" s="96">
        <f t="shared" si="44"/>
        <v>897000</v>
      </c>
      <c r="I703" s="96">
        <f t="shared" si="45"/>
        <v>8970000</v>
      </c>
    </row>
    <row r="704" spans="1:9">
      <c r="A704" s="90">
        <v>10</v>
      </c>
      <c r="B704" s="91"/>
      <c r="C704" s="89" t="s">
        <v>110</v>
      </c>
      <c r="D704" s="112">
        <v>200</v>
      </c>
      <c r="E704" s="112">
        <v>160</v>
      </c>
      <c r="F704" s="112">
        <v>20</v>
      </c>
      <c r="G704" s="74">
        <v>1495</v>
      </c>
      <c r="H704" s="96">
        <f t="shared" si="44"/>
        <v>956800</v>
      </c>
      <c r="I704" s="96">
        <f t="shared" si="45"/>
        <v>9568000</v>
      </c>
    </row>
    <row r="705" spans="1:9">
      <c r="A705" s="90">
        <v>8</v>
      </c>
      <c r="B705" s="91"/>
      <c r="C705" s="89" t="s">
        <v>110</v>
      </c>
      <c r="D705" s="112">
        <v>200</v>
      </c>
      <c r="E705" s="112">
        <v>160</v>
      </c>
      <c r="F705" s="112">
        <v>30</v>
      </c>
      <c r="G705" s="74">
        <v>1495</v>
      </c>
      <c r="H705" s="96">
        <f t="shared" si="44"/>
        <v>1435200</v>
      </c>
      <c r="I705" s="96">
        <f t="shared" si="45"/>
        <v>11481600</v>
      </c>
    </row>
    <row r="706" spans="1:9">
      <c r="A706" s="90">
        <v>10</v>
      </c>
      <c r="B706" s="91"/>
      <c r="C706" s="89" t="s">
        <v>110</v>
      </c>
      <c r="D706" s="112">
        <v>200</v>
      </c>
      <c r="E706" s="112">
        <v>180</v>
      </c>
      <c r="F706" s="112">
        <v>20</v>
      </c>
      <c r="G706" s="74">
        <v>1495</v>
      </c>
      <c r="H706" s="96">
        <f t="shared" si="44"/>
        <v>1076400</v>
      </c>
      <c r="I706" s="96">
        <f t="shared" si="45"/>
        <v>10764000</v>
      </c>
    </row>
    <row r="707" spans="1:9">
      <c r="A707" s="90"/>
      <c r="B707" s="91" t="s">
        <v>105</v>
      </c>
      <c r="C707" s="89"/>
      <c r="D707" s="112"/>
      <c r="E707" s="112"/>
      <c r="F707" s="112"/>
      <c r="G707" s="74"/>
      <c r="H707" s="75"/>
      <c r="I707" s="96"/>
    </row>
    <row r="708" spans="1:9">
      <c r="A708" s="90"/>
      <c r="B708" s="91"/>
      <c r="C708" s="74"/>
      <c r="D708" s="112"/>
      <c r="E708" s="112"/>
      <c r="F708" s="112"/>
      <c r="G708" s="74"/>
      <c r="H708" s="75"/>
      <c r="I708" s="96"/>
    </row>
    <row r="709" spans="1:9">
      <c r="A709" s="111"/>
      <c r="B709" s="106"/>
      <c r="C709" s="74"/>
      <c r="D709" s="74"/>
      <c r="E709" s="74"/>
      <c r="F709" s="74"/>
      <c r="G709" s="74"/>
      <c r="H709" s="75"/>
      <c r="I709" s="96"/>
    </row>
    <row r="710" spans="1:9">
      <c r="A710" s="90"/>
      <c r="B710" s="91"/>
      <c r="C710" s="74" t="str">
        <f>IF(B710&lt;1,"-",VLOOKUP(B710,HARGA01,2))</f>
        <v>-</v>
      </c>
      <c r="D710" s="74"/>
      <c r="E710" s="74"/>
      <c r="F710" s="74"/>
      <c r="G710" s="74"/>
      <c r="H710" s="96" t="str">
        <f>IF(B710&lt;1,"-",VLOOKUP(B710,HARGA01,3))</f>
        <v>-</v>
      </c>
      <c r="I710" s="96" t="str">
        <f>IF(H710="-","-",A710*H710)</f>
        <v>-</v>
      </c>
    </row>
    <row r="711" spans="1:9">
      <c r="A711" s="90">
        <f>SUM(A701:A710)</f>
        <v>58</v>
      </c>
      <c r="B711" s="91"/>
      <c r="C711" s="74" t="str">
        <f>IF(B711&lt;1,"-",VLOOKUP(B711,HARGA01,2))</f>
        <v>-</v>
      </c>
      <c r="D711" s="74"/>
      <c r="E711" s="74"/>
      <c r="F711" s="74"/>
      <c r="G711" s="74"/>
      <c r="H711" s="96" t="str">
        <f>IF(B711&lt;1,"-",VLOOKUP(B711,HARGA01,3))</f>
        <v>-</v>
      </c>
      <c r="I711" s="96" t="str">
        <f>IF(H711="-","-",A711*H711)</f>
        <v>-</v>
      </c>
    </row>
    <row r="712" spans="1:9">
      <c r="A712" s="634" t="s">
        <v>23</v>
      </c>
      <c r="B712" s="635"/>
      <c r="C712" s="634"/>
      <c r="D712" s="634"/>
      <c r="E712" s="634"/>
      <c r="F712" s="634"/>
      <c r="G712" s="634"/>
      <c r="H712" s="636"/>
      <c r="I712" s="96">
        <f>SUM(I701:I711)</f>
        <v>56331600</v>
      </c>
    </row>
    <row r="713" spans="1:9">
      <c r="A713" s="28" t="s">
        <v>24</v>
      </c>
      <c r="B713" s="28"/>
      <c r="H713" s="637" t="s">
        <v>25</v>
      </c>
      <c r="I713" s="637"/>
    </row>
    <row r="715" spans="1:9" ht="27">
      <c r="A715" s="2" t="s">
        <v>0</v>
      </c>
      <c r="B715" s="2"/>
    </row>
    <row r="716" spans="1:9">
      <c r="A716" t="s">
        <v>1</v>
      </c>
      <c r="C716" t="s">
        <v>2</v>
      </c>
      <c r="H716" t="s">
        <v>3</v>
      </c>
      <c r="I716" s="85">
        <v>44138</v>
      </c>
    </row>
    <row r="717" spans="1:9">
      <c r="C717" t="s">
        <v>4</v>
      </c>
      <c r="H717" t="s">
        <v>5</v>
      </c>
      <c r="I717" t="s">
        <v>48</v>
      </c>
    </row>
    <row r="718" spans="1:9">
      <c r="C718" t="s">
        <v>7</v>
      </c>
      <c r="H718" s="86"/>
      <c r="I718" s="86" t="s">
        <v>49</v>
      </c>
    </row>
    <row r="719" spans="1:9">
      <c r="A719" t="s">
        <v>8</v>
      </c>
      <c r="C719" s="87" t="s">
        <v>9</v>
      </c>
      <c r="D719" s="87"/>
      <c r="E719" s="87"/>
      <c r="F719" s="87"/>
      <c r="G719" s="87"/>
      <c r="H719" t="s">
        <v>10</v>
      </c>
      <c r="I719" s="114" t="s">
        <v>11</v>
      </c>
    </row>
    <row r="720" spans="1:9">
      <c r="A720" t="s">
        <v>12</v>
      </c>
      <c r="C720" t="s">
        <v>13</v>
      </c>
      <c r="H720" t="s">
        <v>14</v>
      </c>
      <c r="I720" t="s">
        <v>11</v>
      </c>
    </row>
    <row r="721" spans="1:9">
      <c r="A721" s="88" t="s">
        <v>15</v>
      </c>
      <c r="B721" s="89"/>
      <c r="C721" s="74" t="s">
        <v>16</v>
      </c>
      <c r="D721" s="74" t="s">
        <v>81</v>
      </c>
      <c r="E721" s="74" t="s">
        <v>82</v>
      </c>
      <c r="F721" s="74" t="s">
        <v>83</v>
      </c>
      <c r="G721" s="74" t="s">
        <v>84</v>
      </c>
      <c r="H721" s="95" t="s">
        <v>85</v>
      </c>
      <c r="I721" s="95" t="s">
        <v>18</v>
      </c>
    </row>
    <row r="722" spans="1:9">
      <c r="A722" s="90">
        <v>10</v>
      </c>
      <c r="B722" s="91"/>
      <c r="C722" s="89" t="s">
        <v>111</v>
      </c>
      <c r="D722" s="112">
        <v>180</v>
      </c>
      <c r="E722" s="112">
        <v>120</v>
      </c>
      <c r="F722" s="112">
        <v>10</v>
      </c>
      <c r="G722" s="74"/>
      <c r="H722" s="96">
        <v>245000</v>
      </c>
      <c r="I722" s="96">
        <f>IF(H722="-","-",A722*H722)</f>
        <v>2450000</v>
      </c>
    </row>
    <row r="723" spans="1:9">
      <c r="A723" s="90">
        <v>10</v>
      </c>
      <c r="B723" s="91"/>
      <c r="C723" s="89" t="s">
        <v>111</v>
      </c>
      <c r="D723" s="112">
        <v>180</v>
      </c>
      <c r="E723" s="112">
        <v>140</v>
      </c>
      <c r="F723" s="112">
        <v>10</v>
      </c>
      <c r="G723" s="74"/>
      <c r="H723" s="96">
        <v>260000</v>
      </c>
      <c r="I723" s="96">
        <f>IF(H723="-","-",A723*H723)</f>
        <v>2600000</v>
      </c>
    </row>
    <row r="724" spans="1:9">
      <c r="A724" s="90">
        <v>30</v>
      </c>
      <c r="B724" s="91"/>
      <c r="C724" s="89" t="s">
        <v>112</v>
      </c>
      <c r="D724" s="112">
        <v>310</v>
      </c>
      <c r="E724" s="112">
        <v>210</v>
      </c>
      <c r="F724" s="112"/>
      <c r="G724" s="74"/>
      <c r="H724" s="96">
        <v>340000</v>
      </c>
      <c r="I724" s="96">
        <f>IF(H724="-","-",A724*H724)</f>
        <v>10200000</v>
      </c>
    </row>
    <row r="725" spans="1:9">
      <c r="A725" s="90"/>
      <c r="B725" s="91"/>
      <c r="C725" s="89"/>
      <c r="D725" s="112"/>
      <c r="E725" s="112"/>
      <c r="F725" s="112"/>
      <c r="G725" s="74"/>
      <c r="H725" s="96"/>
      <c r="I725" s="96"/>
    </row>
    <row r="726" spans="1:9">
      <c r="A726" s="90"/>
      <c r="B726" s="91"/>
      <c r="C726" s="89"/>
      <c r="D726" s="112"/>
      <c r="E726" s="112"/>
      <c r="F726" s="112"/>
      <c r="G726" s="74"/>
      <c r="H726" s="96"/>
      <c r="I726" s="96">
        <f>IF(H726="-","-",A726*H726)</f>
        <v>0</v>
      </c>
    </row>
    <row r="727" spans="1:9">
      <c r="A727" s="90"/>
      <c r="B727" s="91"/>
      <c r="C727" s="89"/>
      <c r="D727" s="112"/>
      <c r="E727" s="112"/>
      <c r="F727" s="112"/>
      <c r="G727" s="74"/>
      <c r="H727" s="96"/>
      <c r="I727" s="96">
        <f>IF(H727="-","-",A727*H727)</f>
        <v>0</v>
      </c>
    </row>
    <row r="728" spans="1:9">
      <c r="A728" s="90"/>
      <c r="B728" s="91" t="s">
        <v>105</v>
      </c>
      <c r="C728" s="89"/>
      <c r="D728" s="112"/>
      <c r="E728" s="112"/>
      <c r="F728" s="112"/>
      <c r="G728" s="74"/>
      <c r="H728" s="75"/>
      <c r="I728" s="96"/>
    </row>
    <row r="729" spans="1:9">
      <c r="A729" s="90"/>
      <c r="B729" s="91"/>
      <c r="C729" s="74"/>
      <c r="D729" s="112"/>
      <c r="E729" s="112"/>
      <c r="F729" s="112"/>
      <c r="G729" s="74"/>
      <c r="H729" s="75"/>
      <c r="I729" s="96"/>
    </row>
    <row r="730" spans="1:9">
      <c r="A730" s="111"/>
      <c r="B730" s="106"/>
      <c r="C730" s="74"/>
      <c r="D730" s="74"/>
      <c r="E730" s="74"/>
      <c r="F730" s="74"/>
      <c r="G730" s="74"/>
      <c r="H730" s="75"/>
      <c r="I730" s="96"/>
    </row>
    <row r="731" spans="1:9">
      <c r="A731" s="90"/>
      <c r="B731" s="91"/>
      <c r="C731" s="74" t="str">
        <f>IF(B731&lt;1,"-",VLOOKUP(B731,HARGA01,2))</f>
        <v>-</v>
      </c>
      <c r="D731" s="74"/>
      <c r="E731" s="74"/>
      <c r="F731" s="74"/>
      <c r="G731" s="74"/>
      <c r="H731" s="96" t="str">
        <f>IF(B731&lt;1,"-",VLOOKUP(B731,HARGA01,3))</f>
        <v>-</v>
      </c>
      <c r="I731" s="96" t="str">
        <f>IF(H731="-","-",A731*H731)</f>
        <v>-</v>
      </c>
    </row>
    <row r="732" spans="1:9">
      <c r="A732" s="90">
        <f>SUM(A722:A731)</f>
        <v>50</v>
      </c>
      <c r="B732" s="91"/>
      <c r="C732" s="74" t="str">
        <f>IF(B732&lt;1,"-",VLOOKUP(B732,HARGA01,2))</f>
        <v>-</v>
      </c>
      <c r="D732" s="74"/>
      <c r="E732" s="74"/>
      <c r="F732" s="74"/>
      <c r="G732" s="74"/>
      <c r="H732" s="96" t="str">
        <f>IF(B732&lt;1,"-",VLOOKUP(B732,HARGA01,3))</f>
        <v>-</v>
      </c>
      <c r="I732" s="96" t="str">
        <f>IF(H732="-","-",A732*H732)</f>
        <v>-</v>
      </c>
    </row>
    <row r="733" spans="1:9">
      <c r="A733" s="634" t="s">
        <v>23</v>
      </c>
      <c r="B733" s="635"/>
      <c r="C733" s="634"/>
      <c r="D733" s="634"/>
      <c r="E733" s="634"/>
      <c r="F733" s="634"/>
      <c r="G733" s="634"/>
      <c r="H733" s="636"/>
      <c r="I733" s="96">
        <f>SUM(I722:I732)</f>
        <v>15250000</v>
      </c>
    </row>
    <row r="734" spans="1:9">
      <c r="A734" s="28" t="s">
        <v>24</v>
      </c>
      <c r="B734" s="28"/>
      <c r="H734" s="637" t="s">
        <v>25</v>
      </c>
      <c r="I734" s="637"/>
    </row>
    <row r="738" spans="1:9" ht="27">
      <c r="A738" s="2" t="s">
        <v>0</v>
      </c>
      <c r="B738" s="2"/>
    </row>
    <row r="739" spans="1:9">
      <c r="A739" t="s">
        <v>1</v>
      </c>
      <c r="C739" t="s">
        <v>2</v>
      </c>
      <c r="H739" t="s">
        <v>3</v>
      </c>
      <c r="I739" s="73">
        <v>44114</v>
      </c>
    </row>
    <row r="740" spans="1:9">
      <c r="C740" t="s">
        <v>4</v>
      </c>
      <c r="H740" t="s">
        <v>5</v>
      </c>
      <c r="I740" t="s">
        <v>48</v>
      </c>
    </row>
    <row r="741" spans="1:9">
      <c r="C741" t="s">
        <v>7</v>
      </c>
      <c r="H741" s="86"/>
      <c r="I741" s="86" t="s">
        <v>49</v>
      </c>
    </row>
    <row r="742" spans="1:9">
      <c r="A742" t="s">
        <v>8</v>
      </c>
      <c r="C742" s="87" t="s">
        <v>9</v>
      </c>
      <c r="D742" s="87"/>
      <c r="E742" s="87"/>
      <c r="F742" s="87"/>
      <c r="G742" s="87"/>
      <c r="H742" t="s">
        <v>10</v>
      </c>
      <c r="I742" s="114" t="s">
        <v>11</v>
      </c>
    </row>
    <row r="743" spans="1:9">
      <c r="A743" t="s">
        <v>12</v>
      </c>
      <c r="C743" t="s">
        <v>13</v>
      </c>
      <c r="H743" t="s">
        <v>14</v>
      </c>
      <c r="I743" t="s">
        <v>11</v>
      </c>
    </row>
    <row r="744" spans="1:9">
      <c r="A744" s="88" t="s">
        <v>15</v>
      </c>
      <c r="B744" s="89"/>
      <c r="C744" s="74" t="s">
        <v>16</v>
      </c>
      <c r="D744" s="74" t="s">
        <v>81</v>
      </c>
      <c r="E744" s="74" t="s">
        <v>82</v>
      </c>
      <c r="F744" s="74" t="s">
        <v>83</v>
      </c>
      <c r="G744" s="74" t="s">
        <v>84</v>
      </c>
      <c r="H744" s="95" t="s">
        <v>85</v>
      </c>
      <c r="I744" s="95" t="s">
        <v>18</v>
      </c>
    </row>
    <row r="745" spans="1:9">
      <c r="A745" s="90">
        <v>10</v>
      </c>
      <c r="B745" s="91"/>
      <c r="C745" s="89" t="s">
        <v>100</v>
      </c>
      <c r="D745" s="112">
        <v>200</v>
      </c>
      <c r="E745" s="112">
        <v>120</v>
      </c>
      <c r="F745" s="112">
        <v>20</v>
      </c>
      <c r="G745" s="96">
        <v>1495</v>
      </c>
      <c r="H745" s="96">
        <f t="shared" ref="H745:H750" si="46">G745*F745*E745*D745/1000</f>
        <v>717600</v>
      </c>
      <c r="I745" s="96">
        <f t="shared" ref="I745:I750" si="47">IF(H745="-","-",A745*H745)</f>
        <v>7176000</v>
      </c>
    </row>
    <row r="746" spans="1:9">
      <c r="A746" s="90">
        <v>10</v>
      </c>
      <c r="B746" s="91"/>
      <c r="C746" s="89" t="s">
        <v>100</v>
      </c>
      <c r="D746" s="112">
        <v>200</v>
      </c>
      <c r="E746" s="112">
        <v>140</v>
      </c>
      <c r="F746" s="112">
        <v>20</v>
      </c>
      <c r="G746" s="96">
        <v>1495</v>
      </c>
      <c r="H746" s="96">
        <f t="shared" si="46"/>
        <v>837200</v>
      </c>
      <c r="I746" s="96">
        <f t="shared" si="47"/>
        <v>8372000</v>
      </c>
    </row>
    <row r="747" spans="1:9">
      <c r="A747" s="90">
        <v>10</v>
      </c>
      <c r="B747" s="91"/>
      <c r="C747" s="89" t="s">
        <v>100</v>
      </c>
      <c r="D747" s="112">
        <v>200</v>
      </c>
      <c r="E747" s="112">
        <v>150</v>
      </c>
      <c r="F747" s="112">
        <v>20</v>
      </c>
      <c r="G747" s="96">
        <v>1495</v>
      </c>
      <c r="H747" s="96">
        <f t="shared" si="46"/>
        <v>897000</v>
      </c>
      <c r="I747" s="96">
        <f t="shared" si="47"/>
        <v>8970000</v>
      </c>
    </row>
    <row r="748" spans="1:9">
      <c r="A748" s="90">
        <v>10</v>
      </c>
      <c r="B748" s="91"/>
      <c r="C748" s="89" t="s">
        <v>100</v>
      </c>
      <c r="D748" s="112">
        <v>200</v>
      </c>
      <c r="E748" s="112">
        <v>160</v>
      </c>
      <c r="F748" s="112">
        <v>20</v>
      </c>
      <c r="G748" s="96">
        <v>1495</v>
      </c>
      <c r="H748" s="96">
        <f t="shared" si="46"/>
        <v>956800</v>
      </c>
      <c r="I748" s="96">
        <f t="shared" si="47"/>
        <v>9568000</v>
      </c>
    </row>
    <row r="749" spans="1:9">
      <c r="A749" s="90">
        <v>8</v>
      </c>
      <c r="B749" s="91"/>
      <c r="C749" s="89" t="s">
        <v>100</v>
      </c>
      <c r="D749" s="112">
        <v>200</v>
      </c>
      <c r="E749" s="112">
        <v>160</v>
      </c>
      <c r="F749" s="112">
        <v>30</v>
      </c>
      <c r="G749" s="96">
        <v>1495</v>
      </c>
      <c r="H749" s="96">
        <f t="shared" si="46"/>
        <v>1435200</v>
      </c>
      <c r="I749" s="96">
        <f t="shared" si="47"/>
        <v>11481600</v>
      </c>
    </row>
    <row r="750" spans="1:9">
      <c r="A750" s="90">
        <v>10</v>
      </c>
      <c r="B750" s="91"/>
      <c r="C750" s="89" t="s">
        <v>100</v>
      </c>
      <c r="D750" s="112">
        <v>200</v>
      </c>
      <c r="E750" s="112">
        <v>180</v>
      </c>
      <c r="F750" s="112">
        <v>20</v>
      </c>
      <c r="G750" s="96">
        <v>1495</v>
      </c>
      <c r="H750" s="96">
        <f t="shared" si="46"/>
        <v>1076400</v>
      </c>
      <c r="I750" s="96">
        <f t="shared" si="47"/>
        <v>10764000</v>
      </c>
    </row>
    <row r="751" spans="1:9">
      <c r="A751" s="90"/>
      <c r="B751" s="91" t="s">
        <v>105</v>
      </c>
      <c r="C751" s="89"/>
      <c r="D751" s="112"/>
      <c r="E751" s="112"/>
      <c r="F751" s="112"/>
      <c r="G751" s="74"/>
      <c r="H751" s="75"/>
      <c r="I751" s="96"/>
    </row>
    <row r="752" spans="1:9">
      <c r="A752" s="90"/>
      <c r="B752" s="91"/>
      <c r="C752" s="74"/>
      <c r="D752" s="112"/>
      <c r="E752" s="112"/>
      <c r="F752" s="112"/>
      <c r="G752" s="74"/>
      <c r="H752" s="75"/>
      <c r="I752" s="96"/>
    </row>
    <row r="753" spans="1:9">
      <c r="A753" s="111"/>
      <c r="B753" s="106"/>
      <c r="C753" s="74"/>
      <c r="D753" s="74"/>
      <c r="E753" s="74"/>
      <c r="F753" s="74"/>
      <c r="G753" s="74"/>
      <c r="H753" s="75"/>
      <c r="I753" s="96"/>
    </row>
    <row r="754" spans="1:9">
      <c r="A754" s="90"/>
      <c r="B754" s="91"/>
      <c r="C754" s="74" t="str">
        <f>IF(B754&lt;1,"-",VLOOKUP(B754,HARGA01,2))</f>
        <v>-</v>
      </c>
      <c r="D754" s="74"/>
      <c r="E754" s="74"/>
      <c r="F754" s="74"/>
      <c r="G754" s="74"/>
      <c r="H754" s="96" t="str">
        <f>IF(B754&lt;1,"-",VLOOKUP(B754,HARGA01,3))</f>
        <v>-</v>
      </c>
      <c r="I754" s="96" t="str">
        <f>IF(H754="-","-",A754*H754)</f>
        <v>-</v>
      </c>
    </row>
    <row r="755" spans="1:9">
      <c r="A755" s="90">
        <f>SUM(A745:A754)</f>
        <v>58</v>
      </c>
      <c r="B755" s="91"/>
      <c r="C755" s="74" t="str">
        <f>IF(B755&lt;1,"-",VLOOKUP(B755,HARGA01,2))</f>
        <v>-</v>
      </c>
      <c r="D755" s="74"/>
      <c r="E755" s="74"/>
      <c r="F755" s="74"/>
      <c r="G755" s="74"/>
      <c r="H755" s="96" t="str">
        <f>IF(B755&lt;1,"-",VLOOKUP(B755,HARGA01,3))</f>
        <v>-</v>
      </c>
      <c r="I755" s="96" t="str">
        <f>IF(H755="-","-",A755*H755)</f>
        <v>-</v>
      </c>
    </row>
    <row r="756" spans="1:9">
      <c r="A756" s="634" t="s">
        <v>23</v>
      </c>
      <c r="B756" s="635"/>
      <c r="C756" s="634"/>
      <c r="D756" s="634"/>
      <c r="E756" s="634"/>
      <c r="F756" s="634"/>
      <c r="G756" s="634"/>
      <c r="H756" s="636"/>
      <c r="I756" s="96">
        <f>SUM(I745:I755)</f>
        <v>56331600</v>
      </c>
    </row>
    <row r="757" spans="1:9">
      <c r="A757" s="28" t="s">
        <v>24</v>
      </c>
      <c r="B757" s="28"/>
      <c r="H757" s="637" t="s">
        <v>25</v>
      </c>
      <c r="I757" s="637"/>
    </row>
    <row r="760" spans="1:9" ht="27">
      <c r="A760" s="2" t="s">
        <v>0</v>
      </c>
      <c r="B760" s="2"/>
    </row>
    <row r="761" spans="1:9">
      <c r="A761" t="s">
        <v>1</v>
      </c>
      <c r="C761" t="s">
        <v>2</v>
      </c>
      <c r="H761" t="s">
        <v>3</v>
      </c>
      <c r="I761" s="73">
        <v>44173</v>
      </c>
    </row>
    <row r="762" spans="1:9">
      <c r="C762" t="s">
        <v>4</v>
      </c>
      <c r="H762" t="s">
        <v>5</v>
      </c>
      <c r="I762" t="s">
        <v>48</v>
      </c>
    </row>
    <row r="763" spans="1:9">
      <c r="C763" t="s">
        <v>7</v>
      </c>
      <c r="H763" s="86"/>
      <c r="I763" s="86" t="s">
        <v>49</v>
      </c>
    </row>
    <row r="764" spans="1:9">
      <c r="A764" t="s">
        <v>8</v>
      </c>
      <c r="C764" s="87" t="s">
        <v>9</v>
      </c>
      <c r="D764" s="87"/>
      <c r="E764" s="87"/>
      <c r="F764" s="87"/>
      <c r="G764" s="87"/>
      <c r="H764" t="s">
        <v>10</v>
      </c>
      <c r="I764" s="114" t="s">
        <v>11</v>
      </c>
    </row>
    <row r="765" spans="1:9">
      <c r="A765" t="s">
        <v>12</v>
      </c>
      <c r="C765" t="s">
        <v>13</v>
      </c>
      <c r="H765" t="s">
        <v>14</v>
      </c>
      <c r="I765" t="s">
        <v>11</v>
      </c>
    </row>
    <row r="766" spans="1:9">
      <c r="A766" s="88" t="s">
        <v>15</v>
      </c>
      <c r="B766" s="89"/>
      <c r="C766" s="74" t="s">
        <v>16</v>
      </c>
      <c r="D766" s="74" t="s">
        <v>81</v>
      </c>
      <c r="E766" s="74" t="s">
        <v>82</v>
      </c>
      <c r="F766" s="74" t="s">
        <v>83</v>
      </c>
      <c r="G766" s="74" t="s">
        <v>84</v>
      </c>
      <c r="H766" s="95" t="s">
        <v>85</v>
      </c>
      <c r="I766" s="95" t="s">
        <v>18</v>
      </c>
    </row>
    <row r="767" spans="1:9">
      <c r="A767" s="90">
        <v>20</v>
      </c>
      <c r="B767" s="91"/>
      <c r="C767" s="89" t="s">
        <v>100</v>
      </c>
      <c r="D767" s="112">
        <v>200</v>
      </c>
      <c r="E767" s="112">
        <v>120</v>
      </c>
      <c r="F767" s="112">
        <v>20</v>
      </c>
      <c r="G767" s="96">
        <v>1495</v>
      </c>
      <c r="H767" s="96">
        <f>G767*F767*E767*D767/1000</f>
        <v>717600</v>
      </c>
      <c r="I767" s="96">
        <f>IF(H767="-","-",A767*H767)</f>
        <v>14352000</v>
      </c>
    </row>
    <row r="768" spans="1:9">
      <c r="A768" s="90">
        <v>20</v>
      </c>
      <c r="B768" s="91"/>
      <c r="C768" s="89" t="s">
        <v>100</v>
      </c>
      <c r="D768" s="112">
        <v>200</v>
      </c>
      <c r="E768" s="112">
        <v>140</v>
      </c>
      <c r="F768" s="112">
        <v>20</v>
      </c>
      <c r="G768" s="96">
        <v>1495</v>
      </c>
      <c r="H768" s="96">
        <f>G768*F768*E768*D768/1000</f>
        <v>837200</v>
      </c>
      <c r="I768" s="96">
        <f>IF(H768="-","-",A768*H768)</f>
        <v>16744000</v>
      </c>
    </row>
    <row r="769" spans="1:9">
      <c r="A769" s="90">
        <v>20</v>
      </c>
      <c r="B769" s="91"/>
      <c r="C769" s="89" t="s">
        <v>100</v>
      </c>
      <c r="D769" s="112">
        <v>200</v>
      </c>
      <c r="E769" s="112">
        <v>150</v>
      </c>
      <c r="F769" s="112">
        <v>20</v>
      </c>
      <c r="G769" s="96">
        <v>1495</v>
      </c>
      <c r="H769" s="96">
        <f>G769*F769*E769*D769/1000</f>
        <v>897000</v>
      </c>
      <c r="I769" s="96">
        <f>IF(H769="-","-",A769*H769)</f>
        <v>17940000</v>
      </c>
    </row>
    <row r="770" spans="1:9">
      <c r="A770" s="90">
        <v>20</v>
      </c>
      <c r="B770" s="91"/>
      <c r="C770" s="89" t="s">
        <v>100</v>
      </c>
      <c r="D770" s="112">
        <v>200</v>
      </c>
      <c r="E770" s="112">
        <v>160</v>
      </c>
      <c r="F770" s="112">
        <v>20</v>
      </c>
      <c r="G770" s="96">
        <v>1495</v>
      </c>
      <c r="H770" s="96">
        <f>G770*F770*E770*D770/1000</f>
        <v>956800</v>
      </c>
      <c r="I770" s="96">
        <f>IF(H770="-","-",A770*H770)</f>
        <v>19136000</v>
      </c>
    </row>
    <row r="771" spans="1:9">
      <c r="A771" s="90">
        <v>10</v>
      </c>
      <c r="B771" s="91"/>
      <c r="C771" s="89" t="s">
        <v>100</v>
      </c>
      <c r="D771" s="112">
        <v>200</v>
      </c>
      <c r="E771" s="112">
        <v>180</v>
      </c>
      <c r="F771" s="112">
        <v>20</v>
      </c>
      <c r="G771" s="96">
        <v>1495</v>
      </c>
      <c r="H771" s="96">
        <f>G771*F771*E771*D771/1000</f>
        <v>1076400</v>
      </c>
      <c r="I771" s="96">
        <f>IF(H771="-","-",A771*H771)</f>
        <v>10764000</v>
      </c>
    </row>
    <row r="772" spans="1:9">
      <c r="A772" s="90"/>
      <c r="B772" s="91"/>
      <c r="C772" s="89"/>
      <c r="D772" s="112"/>
      <c r="E772" s="112"/>
      <c r="F772" s="112"/>
      <c r="G772" s="96"/>
      <c r="H772" s="96"/>
      <c r="I772" s="96"/>
    </row>
    <row r="773" spans="1:9">
      <c r="A773" s="90"/>
      <c r="B773" s="91"/>
      <c r="C773" s="89"/>
      <c r="D773" s="112"/>
      <c r="E773" s="112"/>
      <c r="F773" s="112"/>
      <c r="G773" s="96"/>
      <c r="H773" s="96"/>
      <c r="I773" s="96"/>
    </row>
    <row r="774" spans="1:9">
      <c r="A774" s="90"/>
      <c r="B774" s="91"/>
      <c r="C774" s="89"/>
      <c r="D774" s="112"/>
      <c r="E774" s="112"/>
      <c r="F774" s="112"/>
      <c r="G774" s="96"/>
      <c r="H774" s="96"/>
      <c r="I774" s="96"/>
    </row>
    <row r="775" spans="1:9">
      <c r="A775" s="90"/>
      <c r="B775" s="91"/>
      <c r="C775" s="89"/>
      <c r="D775" s="112"/>
      <c r="E775" s="112"/>
      <c r="F775" s="112"/>
      <c r="G775" s="96"/>
      <c r="H775" s="96"/>
      <c r="I775" s="96"/>
    </row>
    <row r="776" spans="1:9">
      <c r="A776" s="90"/>
      <c r="B776" s="91"/>
      <c r="C776" s="89"/>
      <c r="D776" s="112"/>
      <c r="E776" s="112"/>
      <c r="F776" s="112"/>
      <c r="G776" s="96"/>
      <c r="H776" s="96"/>
      <c r="I776" s="96"/>
    </row>
    <row r="777" spans="1:9">
      <c r="A777" s="90">
        <f>SUM(A767:A776)</f>
        <v>90</v>
      </c>
      <c r="B777" s="91"/>
      <c r="C777" s="74" t="str">
        <f>IF(B777&lt;1,"-",VLOOKUP(B777,HARGA01,2))</f>
        <v>-</v>
      </c>
      <c r="D777" s="74"/>
      <c r="E777" s="74"/>
      <c r="F777" s="74"/>
      <c r="G777" s="74"/>
      <c r="H777" s="96" t="str">
        <f>IF(B777&lt;1,"-",VLOOKUP(B777,HARGA01,3))</f>
        <v>-</v>
      </c>
      <c r="I777" s="96" t="str">
        <f>IF(H777="-","-",A777*H777)</f>
        <v>-</v>
      </c>
    </row>
    <row r="778" spans="1:9">
      <c r="A778" s="634" t="s">
        <v>23</v>
      </c>
      <c r="B778" s="635"/>
      <c r="C778" s="634"/>
      <c r="D778" s="634"/>
      <c r="E778" s="634"/>
      <c r="F778" s="634"/>
      <c r="G778" s="634"/>
      <c r="H778" s="636"/>
      <c r="I778" s="96">
        <f>SUM(I767:I777)</f>
        <v>78936000</v>
      </c>
    </row>
    <row r="779" spans="1:9">
      <c r="A779" s="28" t="s">
        <v>24</v>
      </c>
      <c r="B779" s="28"/>
      <c r="H779" s="637" t="s">
        <v>25</v>
      </c>
      <c r="I779" s="637"/>
    </row>
    <row r="782" spans="1:9">
      <c r="H782" s="94" t="s">
        <v>27</v>
      </c>
      <c r="I782" s="25"/>
    </row>
    <row r="783" spans="1:9" ht="27">
      <c r="A783" s="2" t="s">
        <v>0</v>
      </c>
      <c r="B783" s="2"/>
    </row>
    <row r="784" spans="1:9">
      <c r="A784" t="s">
        <v>1</v>
      </c>
      <c r="C784" t="s">
        <v>2</v>
      </c>
      <c r="H784" t="s">
        <v>3</v>
      </c>
      <c r="I784" s="73">
        <v>44188</v>
      </c>
    </row>
    <row r="785" spans="1:9">
      <c r="C785" t="s">
        <v>4</v>
      </c>
      <c r="H785" t="s">
        <v>5</v>
      </c>
      <c r="I785" t="s">
        <v>48</v>
      </c>
    </row>
    <row r="786" spans="1:9">
      <c r="C786" t="s">
        <v>7</v>
      </c>
      <c r="H786" s="86"/>
      <c r="I786" s="86" t="s">
        <v>49</v>
      </c>
    </row>
    <row r="787" spans="1:9">
      <c r="A787" t="s">
        <v>8</v>
      </c>
      <c r="C787" s="87" t="s">
        <v>9</v>
      </c>
      <c r="D787" s="87"/>
      <c r="E787" s="87"/>
      <c r="F787" s="87"/>
      <c r="G787" s="87"/>
      <c r="H787" t="s">
        <v>10</v>
      </c>
      <c r="I787" s="114" t="s">
        <v>11</v>
      </c>
    </row>
    <row r="788" spans="1:9">
      <c r="A788" t="s">
        <v>12</v>
      </c>
      <c r="C788" t="s">
        <v>13</v>
      </c>
      <c r="H788" t="s">
        <v>14</v>
      </c>
      <c r="I788" t="s">
        <v>11</v>
      </c>
    </row>
    <row r="789" spans="1:9">
      <c r="A789" s="88" t="s">
        <v>15</v>
      </c>
      <c r="B789" s="89"/>
      <c r="C789" s="74" t="s">
        <v>16</v>
      </c>
      <c r="D789" s="74" t="s">
        <v>81</v>
      </c>
      <c r="E789" s="74" t="s">
        <v>82</v>
      </c>
      <c r="F789" s="74" t="s">
        <v>83</v>
      </c>
      <c r="G789" s="74" t="s">
        <v>84</v>
      </c>
      <c r="H789" s="95" t="s">
        <v>85</v>
      </c>
      <c r="I789" s="95" t="s">
        <v>18</v>
      </c>
    </row>
    <row r="790" spans="1:9">
      <c r="A790" s="90">
        <v>15</v>
      </c>
      <c r="B790" s="91"/>
      <c r="C790" s="89" t="s">
        <v>113</v>
      </c>
      <c r="D790" s="112"/>
      <c r="E790" s="112"/>
      <c r="F790" s="112"/>
      <c r="G790" s="96"/>
      <c r="H790" s="96">
        <v>245000</v>
      </c>
      <c r="I790" s="96">
        <f>IF(H790="-","-",A790*H790)</f>
        <v>3675000</v>
      </c>
    </row>
    <row r="791" spans="1:9">
      <c r="A791" s="90">
        <v>15</v>
      </c>
      <c r="B791" s="91"/>
      <c r="C791" s="89" t="s">
        <v>113</v>
      </c>
      <c r="D791" s="112"/>
      <c r="E791" s="112"/>
      <c r="F791" s="112"/>
      <c r="G791" s="96"/>
      <c r="H791" s="96">
        <v>260000</v>
      </c>
      <c r="I791" s="96">
        <f>IF(H791="-","-",A791*H791)</f>
        <v>3900000</v>
      </c>
    </row>
    <row r="792" spans="1:9">
      <c r="A792" s="90"/>
      <c r="B792" s="91"/>
      <c r="C792" s="89"/>
      <c r="D792" s="112"/>
      <c r="E792" s="112"/>
      <c r="F792" s="112"/>
      <c r="G792" s="96"/>
      <c r="H792" s="96"/>
      <c r="I792" s="96"/>
    </row>
    <row r="793" spans="1:9">
      <c r="A793" s="90"/>
      <c r="B793" s="91"/>
      <c r="C793" s="89"/>
      <c r="D793" s="112"/>
      <c r="E793" s="112"/>
      <c r="F793" s="112"/>
      <c r="G793" s="96"/>
      <c r="H793" s="96"/>
      <c r="I793" s="96"/>
    </row>
    <row r="794" spans="1:9">
      <c r="A794" s="90"/>
      <c r="B794" s="91"/>
      <c r="C794" s="89"/>
      <c r="D794" s="112"/>
      <c r="E794" s="112"/>
      <c r="F794" s="112"/>
      <c r="G794" s="96"/>
      <c r="H794" s="96"/>
      <c r="I794" s="96"/>
    </row>
    <row r="795" spans="1:9">
      <c r="A795" s="90"/>
      <c r="B795" s="91"/>
      <c r="C795" s="89"/>
      <c r="D795" s="112"/>
      <c r="E795" s="112"/>
      <c r="F795" s="112"/>
      <c r="G795" s="96"/>
      <c r="H795" s="96"/>
      <c r="I795" s="96"/>
    </row>
    <row r="796" spans="1:9">
      <c r="A796" s="90"/>
      <c r="B796" s="91"/>
      <c r="C796" s="89"/>
      <c r="D796" s="112"/>
      <c r="E796" s="112"/>
      <c r="F796" s="112"/>
      <c r="G796" s="96"/>
      <c r="H796" s="96"/>
      <c r="I796" s="96"/>
    </row>
    <row r="797" spans="1:9">
      <c r="A797" s="90"/>
      <c r="B797" s="91"/>
      <c r="C797" s="89"/>
      <c r="D797" s="112"/>
      <c r="E797" s="112"/>
      <c r="F797" s="112"/>
      <c r="G797" s="96"/>
      <c r="H797" s="96"/>
      <c r="I797" s="96"/>
    </row>
    <row r="798" spans="1:9">
      <c r="A798" s="90"/>
      <c r="B798" s="91"/>
      <c r="C798" s="89"/>
      <c r="D798" s="112"/>
      <c r="E798" s="112"/>
      <c r="F798" s="112"/>
      <c r="G798" s="96"/>
      <c r="H798" s="96"/>
      <c r="I798" s="96"/>
    </row>
    <row r="799" spans="1:9">
      <c r="A799" s="90"/>
      <c r="B799" s="91"/>
      <c r="C799" s="89"/>
      <c r="D799" s="112"/>
      <c r="E799" s="112"/>
      <c r="F799" s="112"/>
      <c r="G799" s="96"/>
      <c r="H799" s="96"/>
      <c r="I799" s="96"/>
    </row>
    <row r="800" spans="1:9">
      <c r="A800" s="90">
        <f>SUM(A790:A799)</f>
        <v>30</v>
      </c>
      <c r="B800" s="91"/>
      <c r="C800" s="74" t="str">
        <f>IF(B800&lt;1,"-",VLOOKUP(B800,HARGA01,2))</f>
        <v>-</v>
      </c>
      <c r="D800" s="74"/>
      <c r="E800" s="74"/>
      <c r="F800" s="74"/>
      <c r="G800" s="74"/>
      <c r="H800" s="96" t="str">
        <f>IF(B800&lt;1,"-",VLOOKUP(B800,HARGA01,3))</f>
        <v>-</v>
      </c>
      <c r="I800" s="96" t="str">
        <f>IF(H800="-","-",A800*H800)</f>
        <v>-</v>
      </c>
    </row>
    <row r="801" spans="1:9">
      <c r="A801" s="634" t="s">
        <v>23</v>
      </c>
      <c r="B801" s="635"/>
      <c r="C801" s="634"/>
      <c r="D801" s="634"/>
      <c r="E801" s="634"/>
      <c r="F801" s="634"/>
      <c r="G801" s="634"/>
      <c r="H801" s="636"/>
      <c r="I801" s="96">
        <f>SUM(I790:I800)</f>
        <v>7575000</v>
      </c>
    </row>
    <row r="802" spans="1:9">
      <c r="A802" s="28" t="s">
        <v>24</v>
      </c>
      <c r="B802" s="28"/>
      <c r="H802" s="637" t="s">
        <v>25</v>
      </c>
      <c r="I802" s="637"/>
    </row>
    <row r="805" spans="1:9" ht="27">
      <c r="A805" s="2" t="s">
        <v>0</v>
      </c>
      <c r="B805" s="2"/>
    </row>
    <row r="806" spans="1:9">
      <c r="A806" t="s">
        <v>1</v>
      </c>
      <c r="C806" t="s">
        <v>2</v>
      </c>
      <c r="H806" t="s">
        <v>3</v>
      </c>
      <c r="I806" s="73">
        <v>44190</v>
      </c>
    </row>
    <row r="807" spans="1:9">
      <c r="C807" t="s">
        <v>4</v>
      </c>
      <c r="H807" t="s">
        <v>5</v>
      </c>
      <c r="I807" t="s">
        <v>48</v>
      </c>
    </row>
    <row r="808" spans="1:9">
      <c r="C808" t="s">
        <v>7</v>
      </c>
      <c r="H808" s="86"/>
      <c r="I808" s="86" t="s">
        <v>49</v>
      </c>
    </row>
    <row r="809" spans="1:9">
      <c r="A809" t="s">
        <v>8</v>
      </c>
      <c r="C809" s="87" t="s">
        <v>9</v>
      </c>
      <c r="D809" s="87"/>
      <c r="E809" s="87"/>
      <c r="F809" s="87"/>
      <c r="G809" s="87"/>
      <c r="H809" t="s">
        <v>10</v>
      </c>
      <c r="I809" s="114" t="s">
        <v>11</v>
      </c>
    </row>
    <row r="810" spans="1:9">
      <c r="A810" t="s">
        <v>12</v>
      </c>
      <c r="C810" t="s">
        <v>13</v>
      </c>
      <c r="H810" t="s">
        <v>14</v>
      </c>
      <c r="I810" t="s">
        <v>11</v>
      </c>
    </row>
    <row r="811" spans="1:9">
      <c r="A811" s="88" t="s">
        <v>15</v>
      </c>
      <c r="B811" s="89"/>
      <c r="C811" s="74" t="s">
        <v>16</v>
      </c>
      <c r="D811" s="74" t="s">
        <v>81</v>
      </c>
      <c r="E811" s="74" t="s">
        <v>82</v>
      </c>
      <c r="F811" s="74" t="s">
        <v>83</v>
      </c>
      <c r="G811" s="74" t="s">
        <v>84</v>
      </c>
      <c r="H811" s="95" t="s">
        <v>85</v>
      </c>
      <c r="I811" s="95" t="s">
        <v>18</v>
      </c>
    </row>
    <row r="812" spans="1:9">
      <c r="A812" s="90">
        <v>15</v>
      </c>
      <c r="B812" s="91"/>
      <c r="C812" s="89" t="s">
        <v>114</v>
      </c>
      <c r="D812" s="112">
        <v>200</v>
      </c>
      <c r="E812" s="112">
        <v>140</v>
      </c>
      <c r="F812" s="112">
        <v>20</v>
      </c>
      <c r="G812" s="96">
        <v>1570</v>
      </c>
      <c r="H812" s="96">
        <f>G812*F812*E812*D812/1000</f>
        <v>879200</v>
      </c>
      <c r="I812" s="96">
        <f>IF(H812="-","-",A812*H812)</f>
        <v>13188000</v>
      </c>
    </row>
    <row r="813" spans="1:9">
      <c r="A813" s="90"/>
      <c r="B813" s="91"/>
      <c r="C813" s="89"/>
      <c r="D813" s="112"/>
      <c r="E813" s="112"/>
      <c r="F813" s="112"/>
      <c r="G813" s="96"/>
      <c r="H813" s="96"/>
      <c r="I813" s="96">
        <f>IF(H813="-","-",A813*H813)</f>
        <v>0</v>
      </c>
    </row>
    <row r="814" spans="1:9">
      <c r="A814" s="90"/>
      <c r="B814" s="91"/>
      <c r="C814" s="89"/>
      <c r="D814" s="112"/>
      <c r="E814" s="112"/>
      <c r="F814" s="112"/>
      <c r="G814" s="96"/>
      <c r="H814" s="96"/>
      <c r="I814" s="96"/>
    </row>
    <row r="815" spans="1:9">
      <c r="A815" s="90"/>
      <c r="B815" s="91"/>
      <c r="C815" s="89"/>
      <c r="D815" s="112"/>
      <c r="E815" s="112"/>
      <c r="F815" s="112"/>
      <c r="G815" s="96"/>
      <c r="H815" s="96"/>
      <c r="I815" s="96"/>
    </row>
    <row r="816" spans="1:9">
      <c r="A816" s="90"/>
      <c r="B816" s="91"/>
      <c r="C816" s="89"/>
      <c r="D816" s="112"/>
      <c r="E816" s="112"/>
      <c r="F816" s="112"/>
      <c r="G816" s="96"/>
      <c r="H816" s="96"/>
      <c r="I816" s="96"/>
    </row>
    <row r="817" spans="1:9">
      <c r="A817" s="90"/>
      <c r="B817" s="91"/>
      <c r="C817" s="89"/>
      <c r="D817" s="112"/>
      <c r="E817" s="112"/>
      <c r="F817" s="112"/>
      <c r="G817" s="96"/>
      <c r="H817" s="96"/>
      <c r="I817" s="96"/>
    </row>
    <row r="818" spans="1:9">
      <c r="A818" s="90"/>
      <c r="B818" s="91"/>
      <c r="C818" s="89"/>
      <c r="D818" s="112"/>
      <c r="E818" s="112"/>
      <c r="F818" s="112"/>
      <c r="G818" s="96"/>
      <c r="H818" s="96"/>
      <c r="I818" s="96"/>
    </row>
    <row r="819" spans="1:9">
      <c r="A819" s="90"/>
      <c r="B819" s="91"/>
      <c r="C819" s="89"/>
      <c r="D819" s="112"/>
      <c r="E819" s="112"/>
      <c r="F819" s="112"/>
      <c r="G819" s="96"/>
      <c r="H819" s="96"/>
      <c r="I819" s="96"/>
    </row>
    <row r="820" spans="1:9">
      <c r="A820" s="90"/>
      <c r="B820" s="91"/>
      <c r="C820" s="89"/>
      <c r="D820" s="112"/>
      <c r="E820" s="112"/>
      <c r="F820" s="112"/>
      <c r="G820" s="96"/>
      <c r="H820" s="96"/>
      <c r="I820" s="96"/>
    </row>
    <row r="821" spans="1:9">
      <c r="A821" s="90"/>
      <c r="B821" s="91"/>
      <c r="C821" s="89"/>
      <c r="D821" s="112"/>
      <c r="E821" s="112"/>
      <c r="F821" s="112"/>
      <c r="G821" s="96"/>
      <c r="H821" s="96"/>
      <c r="I821" s="96"/>
    </row>
    <row r="822" spans="1:9">
      <c r="A822" s="90">
        <f>SUM(A812:A821)</f>
        <v>15</v>
      </c>
      <c r="B822" s="91"/>
      <c r="C822" s="74" t="str">
        <f>IF(B822&lt;1,"-",VLOOKUP(B822,HARGA01,2))</f>
        <v>-</v>
      </c>
      <c r="D822" s="74"/>
      <c r="E822" s="74"/>
      <c r="F822" s="74"/>
      <c r="G822" s="74"/>
      <c r="H822" s="96" t="str">
        <f>IF(B822&lt;1,"-",VLOOKUP(B822,HARGA01,3))</f>
        <v>-</v>
      </c>
      <c r="I822" s="96" t="str">
        <f>IF(H822="-","-",A822*H822)</f>
        <v>-</v>
      </c>
    </row>
    <row r="823" spans="1:9">
      <c r="A823" s="634" t="s">
        <v>23</v>
      </c>
      <c r="B823" s="635"/>
      <c r="C823" s="634"/>
      <c r="D823" s="634"/>
      <c r="E823" s="634"/>
      <c r="F823" s="634"/>
      <c r="G823" s="634"/>
      <c r="H823" s="636"/>
      <c r="I823" s="96">
        <f>SUM(I812:I822)</f>
        <v>13188000</v>
      </c>
    </row>
    <row r="824" spans="1:9">
      <c r="A824" s="28" t="s">
        <v>24</v>
      </c>
      <c r="B824" s="28"/>
      <c r="H824" s="637" t="s">
        <v>25</v>
      </c>
      <c r="I824" s="637"/>
    </row>
    <row r="827" spans="1:9">
      <c r="H827" s="94" t="s">
        <v>27</v>
      </c>
      <c r="I827" s="25"/>
    </row>
    <row r="828" spans="1:9" ht="27">
      <c r="A828" s="2" t="s">
        <v>0</v>
      </c>
      <c r="B828" s="2"/>
    </row>
    <row r="829" spans="1:9">
      <c r="A829" t="s">
        <v>1</v>
      </c>
      <c r="C829" t="s">
        <v>2</v>
      </c>
      <c r="H829" t="s">
        <v>3</v>
      </c>
      <c r="I829" s="73">
        <v>44200</v>
      </c>
    </row>
    <row r="830" spans="1:9">
      <c r="C830" t="s">
        <v>4</v>
      </c>
      <c r="H830" t="s">
        <v>5</v>
      </c>
      <c r="I830" t="s">
        <v>48</v>
      </c>
    </row>
    <row r="831" spans="1:9">
      <c r="C831" t="s">
        <v>7</v>
      </c>
      <c r="H831" s="86"/>
      <c r="I831" s="86" t="s">
        <v>49</v>
      </c>
    </row>
    <row r="832" spans="1:9">
      <c r="A832" t="s">
        <v>8</v>
      </c>
      <c r="C832" s="87" t="s">
        <v>9</v>
      </c>
      <c r="D832" s="87"/>
      <c r="E832" s="87"/>
      <c r="F832" s="87"/>
      <c r="G832" s="87"/>
      <c r="H832" t="s">
        <v>10</v>
      </c>
      <c r="I832" s="114" t="s">
        <v>11</v>
      </c>
    </row>
    <row r="833" spans="1:9">
      <c r="A833" t="s">
        <v>12</v>
      </c>
      <c r="C833" t="s">
        <v>13</v>
      </c>
      <c r="H833" t="s">
        <v>14</v>
      </c>
      <c r="I833" t="s">
        <v>11</v>
      </c>
    </row>
    <row r="834" spans="1:9">
      <c r="A834" s="88" t="s">
        <v>15</v>
      </c>
      <c r="B834" s="89"/>
      <c r="C834" s="74" t="s">
        <v>16</v>
      </c>
      <c r="D834" s="74" t="s">
        <v>81</v>
      </c>
      <c r="E834" s="74" t="s">
        <v>82</v>
      </c>
      <c r="F834" s="74" t="s">
        <v>83</v>
      </c>
      <c r="G834" s="74" t="s">
        <v>84</v>
      </c>
      <c r="H834" s="95" t="s">
        <v>85</v>
      </c>
      <c r="I834" s="95" t="s">
        <v>18</v>
      </c>
    </row>
    <row r="835" spans="1:9">
      <c r="A835" s="90">
        <v>9</v>
      </c>
      <c r="B835" s="91"/>
      <c r="C835" s="89" t="s">
        <v>114</v>
      </c>
      <c r="D835" s="112">
        <v>200</v>
      </c>
      <c r="E835" s="112">
        <v>140</v>
      </c>
      <c r="F835" s="112">
        <v>15</v>
      </c>
      <c r="G835" s="96">
        <v>1570</v>
      </c>
      <c r="H835" s="96">
        <f>G835*F835*E835*D835/1000</f>
        <v>659400</v>
      </c>
      <c r="I835" s="96">
        <f t="shared" ref="I835:I842" si="48">IF(H835="-","-",A835*H835)</f>
        <v>5934600</v>
      </c>
    </row>
    <row r="836" spans="1:9">
      <c r="A836" s="90">
        <v>11</v>
      </c>
      <c r="B836" s="91"/>
      <c r="C836" s="89" t="s">
        <v>114</v>
      </c>
      <c r="D836" s="112">
        <v>200</v>
      </c>
      <c r="E836" s="112">
        <v>140</v>
      </c>
      <c r="F836" s="112">
        <v>20</v>
      </c>
      <c r="G836" s="96">
        <v>1570</v>
      </c>
      <c r="H836" s="96">
        <f>G836*F836*E836*D836/1000</f>
        <v>879200</v>
      </c>
      <c r="I836" s="96">
        <f t="shared" si="48"/>
        <v>9671200</v>
      </c>
    </row>
    <row r="837" spans="1:9">
      <c r="A837" s="90">
        <v>2</v>
      </c>
      <c r="B837" s="91"/>
      <c r="C837" s="89" t="s">
        <v>114</v>
      </c>
      <c r="D837" s="112">
        <v>200</v>
      </c>
      <c r="E837" s="112">
        <v>160</v>
      </c>
      <c r="F837" s="112">
        <v>20</v>
      </c>
      <c r="G837" s="96">
        <v>1570</v>
      </c>
      <c r="H837" s="96">
        <f>G837*F837*E837*D837/1000</f>
        <v>1004800</v>
      </c>
      <c r="I837" s="96">
        <f t="shared" si="48"/>
        <v>2009600</v>
      </c>
    </row>
    <row r="838" spans="1:9">
      <c r="A838" s="90">
        <v>9</v>
      </c>
      <c r="B838" s="91"/>
      <c r="C838" s="89" t="s">
        <v>114</v>
      </c>
      <c r="D838" s="112">
        <v>200</v>
      </c>
      <c r="E838" s="112">
        <v>120</v>
      </c>
      <c r="F838" s="112">
        <v>20</v>
      </c>
      <c r="G838" s="96">
        <v>1570</v>
      </c>
      <c r="H838" s="96">
        <f>G838*F838*E838*D838/1000</f>
        <v>753600</v>
      </c>
      <c r="I838" s="96">
        <f t="shared" si="48"/>
        <v>6782400</v>
      </c>
    </row>
    <row r="839" spans="1:9">
      <c r="A839" s="90">
        <v>1</v>
      </c>
      <c r="B839" s="91"/>
      <c r="C839" s="89" t="s">
        <v>114</v>
      </c>
      <c r="D839" s="112">
        <v>200</v>
      </c>
      <c r="E839" s="112">
        <v>140</v>
      </c>
      <c r="F839" s="112">
        <v>15</v>
      </c>
      <c r="G839" s="96">
        <v>1570</v>
      </c>
      <c r="H839" s="96">
        <f>G839*F839*E839*D839/1000</f>
        <v>659400</v>
      </c>
      <c r="I839" s="96">
        <f t="shared" si="48"/>
        <v>659400</v>
      </c>
    </row>
    <row r="840" spans="1:9">
      <c r="A840" s="90">
        <v>50</v>
      </c>
      <c r="B840" s="91"/>
      <c r="C840" s="89" t="s">
        <v>115</v>
      </c>
      <c r="D840" s="112"/>
      <c r="E840" s="112"/>
      <c r="F840" s="112"/>
      <c r="G840" s="96"/>
      <c r="H840" s="96">
        <v>340000</v>
      </c>
      <c r="I840" s="96">
        <f t="shared" si="48"/>
        <v>17000000</v>
      </c>
    </row>
    <row r="841" spans="1:9">
      <c r="A841" s="90">
        <v>10</v>
      </c>
      <c r="B841" s="91"/>
      <c r="C841" s="89" t="s">
        <v>65</v>
      </c>
      <c r="D841" s="112"/>
      <c r="E841" s="112"/>
      <c r="F841" s="112"/>
      <c r="G841" s="96"/>
      <c r="H841" s="96">
        <v>17000</v>
      </c>
      <c r="I841" s="96">
        <f t="shared" si="48"/>
        <v>170000</v>
      </c>
    </row>
    <row r="842" spans="1:9">
      <c r="A842" s="90">
        <v>10</v>
      </c>
      <c r="B842" s="91"/>
      <c r="C842" s="89" t="s">
        <v>74</v>
      </c>
      <c r="D842" s="112"/>
      <c r="E842" s="112"/>
      <c r="F842" s="112"/>
      <c r="G842" s="96"/>
      <c r="H842" s="96">
        <v>27000</v>
      </c>
      <c r="I842" s="96">
        <f t="shared" si="48"/>
        <v>270000</v>
      </c>
    </row>
    <row r="843" spans="1:9">
      <c r="A843" s="90"/>
      <c r="B843" s="91"/>
      <c r="C843" s="89"/>
      <c r="D843" s="112"/>
      <c r="E843" s="112"/>
      <c r="F843" s="112"/>
      <c r="G843" s="96"/>
      <c r="H843" s="96"/>
      <c r="I843" s="96"/>
    </row>
    <row r="844" spans="1:9">
      <c r="A844" s="90"/>
      <c r="B844" s="91"/>
      <c r="C844" s="89"/>
      <c r="D844" s="112"/>
      <c r="E844" s="112"/>
      <c r="F844" s="112"/>
      <c r="G844" s="96"/>
      <c r="H844" s="96"/>
      <c r="I844" s="96"/>
    </row>
    <row r="845" spans="1:9">
      <c r="A845" s="90">
        <f>SUM(A835:A844)</f>
        <v>102</v>
      </c>
      <c r="B845" s="91"/>
      <c r="C845" s="74" t="str">
        <f>IF(B845&lt;1,"-",VLOOKUP(B845,HARGA01,2))</f>
        <v>-</v>
      </c>
      <c r="D845" s="74"/>
      <c r="E845" s="74"/>
      <c r="F845" s="74"/>
      <c r="G845" s="74"/>
      <c r="H845" s="96" t="str">
        <f>IF(B845&lt;1,"-",VLOOKUP(B845,HARGA01,3))</f>
        <v>-</v>
      </c>
      <c r="I845" s="96" t="str">
        <f>IF(H845="-","-",A845*H845)</f>
        <v>-</v>
      </c>
    </row>
    <row r="846" spans="1:9">
      <c r="A846" s="634" t="s">
        <v>23</v>
      </c>
      <c r="B846" s="635"/>
      <c r="C846" s="634"/>
      <c r="D846" s="634"/>
      <c r="E846" s="634"/>
      <c r="F846" s="634"/>
      <c r="G846" s="634"/>
      <c r="H846" s="636"/>
      <c r="I846" s="96">
        <f>SUM(I835:I845)</f>
        <v>42497200</v>
      </c>
    </row>
    <row r="847" spans="1:9">
      <c r="A847" s="28" t="s">
        <v>24</v>
      </c>
      <c r="B847" s="28"/>
      <c r="H847" s="637" t="s">
        <v>25</v>
      </c>
      <c r="I847" s="637"/>
    </row>
    <row r="850" spans="1:9">
      <c r="H850" s="94" t="s">
        <v>27</v>
      </c>
      <c r="I850" s="25"/>
    </row>
    <row r="852" spans="1:9" ht="27">
      <c r="A852" s="2" t="s">
        <v>0</v>
      </c>
      <c r="B852" s="2"/>
    </row>
    <row r="853" spans="1:9">
      <c r="A853" t="s">
        <v>1</v>
      </c>
      <c r="C853" t="s">
        <v>2</v>
      </c>
      <c r="H853" t="s">
        <v>3</v>
      </c>
      <c r="I853" s="73">
        <v>44207</v>
      </c>
    </row>
    <row r="854" spans="1:9">
      <c r="C854" t="s">
        <v>4</v>
      </c>
      <c r="H854" t="s">
        <v>5</v>
      </c>
      <c r="I854" t="s">
        <v>48</v>
      </c>
    </row>
    <row r="855" spans="1:9">
      <c r="C855" t="s">
        <v>7</v>
      </c>
      <c r="H855" s="86"/>
      <c r="I855" s="86" t="s">
        <v>49</v>
      </c>
    </row>
    <row r="856" spans="1:9">
      <c r="A856" t="s">
        <v>8</v>
      </c>
      <c r="C856" s="87" t="s">
        <v>9</v>
      </c>
      <c r="D856" s="87"/>
      <c r="E856" s="87"/>
      <c r="F856" s="87"/>
      <c r="G856" s="87"/>
      <c r="H856" t="s">
        <v>10</v>
      </c>
      <c r="I856" s="114" t="s">
        <v>11</v>
      </c>
    </row>
    <row r="857" spans="1:9">
      <c r="A857" t="s">
        <v>12</v>
      </c>
      <c r="C857" t="s">
        <v>13</v>
      </c>
      <c r="H857" t="s">
        <v>14</v>
      </c>
      <c r="I857" t="s">
        <v>11</v>
      </c>
    </row>
    <row r="858" spans="1:9">
      <c r="A858" s="88" t="s">
        <v>15</v>
      </c>
      <c r="B858" s="89"/>
      <c r="C858" s="74" t="s">
        <v>16</v>
      </c>
      <c r="D858" s="74" t="s">
        <v>81</v>
      </c>
      <c r="E858" s="74" t="s">
        <v>82</v>
      </c>
      <c r="F858" s="74" t="s">
        <v>83</v>
      </c>
      <c r="G858" s="74" t="s">
        <v>84</v>
      </c>
      <c r="H858" s="95" t="s">
        <v>85</v>
      </c>
      <c r="I858" s="95" t="s">
        <v>18</v>
      </c>
    </row>
    <row r="859" spans="1:9">
      <c r="A859" s="90">
        <v>10</v>
      </c>
      <c r="B859" s="91"/>
      <c r="C859" s="89" t="s">
        <v>114</v>
      </c>
      <c r="D859" s="112">
        <v>200</v>
      </c>
      <c r="E859" s="112">
        <v>120</v>
      </c>
      <c r="F859" s="112">
        <v>20</v>
      </c>
      <c r="G859" s="96">
        <v>1570</v>
      </c>
      <c r="H859" s="96">
        <f t="shared" ref="H859:H864" si="49">G859*F859*E859*D859/1000</f>
        <v>753600</v>
      </c>
      <c r="I859" s="96">
        <f t="shared" ref="I859:I866" si="50">IF(H859="-","-",A859*H859)</f>
        <v>7536000</v>
      </c>
    </row>
    <row r="860" spans="1:9">
      <c r="A860" s="90">
        <v>15</v>
      </c>
      <c r="B860" s="91"/>
      <c r="C860" s="89" t="s">
        <v>114</v>
      </c>
      <c r="D860" s="112">
        <v>200</v>
      </c>
      <c r="E860" s="112">
        <v>140</v>
      </c>
      <c r="F860" s="112">
        <v>20</v>
      </c>
      <c r="G860" s="96">
        <v>1570</v>
      </c>
      <c r="H860" s="96">
        <f t="shared" si="49"/>
        <v>879200</v>
      </c>
      <c r="I860" s="96">
        <f t="shared" si="50"/>
        <v>13188000</v>
      </c>
    </row>
    <row r="861" spans="1:9">
      <c r="A861" s="90">
        <v>15</v>
      </c>
      <c r="B861" s="91"/>
      <c r="C861" s="89" t="s">
        <v>114</v>
      </c>
      <c r="D861" s="112">
        <v>200</v>
      </c>
      <c r="E861" s="112">
        <v>160</v>
      </c>
      <c r="F861" s="112">
        <v>20</v>
      </c>
      <c r="G861" s="96">
        <v>1570</v>
      </c>
      <c r="H861" s="96">
        <f t="shared" si="49"/>
        <v>1004800</v>
      </c>
      <c r="I861" s="96">
        <f t="shared" si="50"/>
        <v>15072000</v>
      </c>
    </row>
    <row r="862" spans="1:9">
      <c r="A862" s="90">
        <v>6</v>
      </c>
      <c r="B862" s="91"/>
      <c r="C862" s="89" t="s">
        <v>114</v>
      </c>
      <c r="D862" s="112">
        <v>200</v>
      </c>
      <c r="E862" s="112">
        <v>120</v>
      </c>
      <c r="F862" s="112">
        <v>15</v>
      </c>
      <c r="G862" s="96">
        <v>1570</v>
      </c>
      <c r="H862" s="96">
        <f t="shared" si="49"/>
        <v>565200</v>
      </c>
      <c r="I862" s="96">
        <f t="shared" si="50"/>
        <v>3391200</v>
      </c>
    </row>
    <row r="863" spans="1:9">
      <c r="A863" s="90">
        <v>10</v>
      </c>
      <c r="B863" s="91"/>
      <c r="C863" s="89" t="s">
        <v>114</v>
      </c>
      <c r="D863" s="112">
        <v>200</v>
      </c>
      <c r="E863" s="112">
        <v>150</v>
      </c>
      <c r="F863" s="112">
        <v>15</v>
      </c>
      <c r="G863" s="96">
        <v>1570</v>
      </c>
      <c r="H863" s="96">
        <f t="shared" si="49"/>
        <v>706500</v>
      </c>
      <c r="I863" s="96">
        <f t="shared" si="50"/>
        <v>7065000</v>
      </c>
    </row>
    <row r="864" spans="1:9">
      <c r="A864" s="90">
        <v>9</v>
      </c>
      <c r="B864" s="91"/>
      <c r="C864" s="89" t="s">
        <v>114</v>
      </c>
      <c r="D864" s="112">
        <v>200</v>
      </c>
      <c r="E864" s="112">
        <v>160</v>
      </c>
      <c r="F864" s="112">
        <v>15</v>
      </c>
      <c r="G864" s="96">
        <v>1570</v>
      </c>
      <c r="H864" s="96">
        <f t="shared" si="49"/>
        <v>753600</v>
      </c>
      <c r="I864" s="96">
        <f t="shared" si="50"/>
        <v>6782400</v>
      </c>
    </row>
    <row r="865" spans="1:9">
      <c r="A865" s="90"/>
      <c r="B865" s="91"/>
      <c r="C865" s="89"/>
      <c r="D865" s="112"/>
      <c r="E865" s="112"/>
      <c r="F865" s="112"/>
      <c r="G865" s="96"/>
      <c r="H865" s="96"/>
      <c r="I865" s="96">
        <f t="shared" si="50"/>
        <v>0</v>
      </c>
    </row>
    <row r="866" spans="1:9">
      <c r="A866" s="90"/>
      <c r="B866" s="91"/>
      <c r="C866" s="89"/>
      <c r="D866" s="112"/>
      <c r="E866" s="112"/>
      <c r="F866" s="112"/>
      <c r="G866" s="96"/>
      <c r="H866" s="96"/>
      <c r="I866" s="96">
        <f t="shared" si="50"/>
        <v>0</v>
      </c>
    </row>
    <row r="867" spans="1:9">
      <c r="A867" s="90"/>
      <c r="B867" s="91"/>
      <c r="C867" s="89"/>
      <c r="D867" s="112"/>
      <c r="E867" s="112"/>
      <c r="F867" s="112"/>
      <c r="G867" s="96"/>
      <c r="H867" s="96"/>
      <c r="I867" s="96"/>
    </row>
    <row r="868" spans="1:9">
      <c r="A868" s="90"/>
      <c r="B868" s="91"/>
      <c r="C868" s="89"/>
      <c r="D868" s="112"/>
      <c r="E868" s="112"/>
      <c r="F868" s="112"/>
      <c r="G868" s="96"/>
      <c r="H868" s="96"/>
      <c r="I868" s="96"/>
    </row>
    <row r="869" spans="1:9">
      <c r="A869" s="90">
        <f>SUM(A859:A868)</f>
        <v>65</v>
      </c>
      <c r="B869" s="91"/>
      <c r="C869" s="74" t="str">
        <f>IF(B869&lt;1,"-",VLOOKUP(B869,HARGA01,2))</f>
        <v>-</v>
      </c>
      <c r="D869" s="74"/>
      <c r="E869" s="74"/>
      <c r="F869" s="74"/>
      <c r="G869" s="74"/>
      <c r="H869" s="96" t="str">
        <f>IF(B869&lt;1,"-",VLOOKUP(B869,HARGA01,3))</f>
        <v>-</v>
      </c>
      <c r="I869" s="96" t="str">
        <f>IF(H869="-","-",A869*H869)</f>
        <v>-</v>
      </c>
    </row>
    <row r="870" spans="1:9">
      <c r="A870" s="634" t="s">
        <v>23</v>
      </c>
      <c r="B870" s="635"/>
      <c r="C870" s="634"/>
      <c r="D870" s="634"/>
      <c r="E870" s="634"/>
      <c r="F870" s="634"/>
      <c r="G870" s="634"/>
      <c r="H870" s="636"/>
      <c r="I870" s="96">
        <f>SUM(I859:I869)</f>
        <v>53034600</v>
      </c>
    </row>
    <row r="871" spans="1:9">
      <c r="A871" s="28" t="s">
        <v>24</v>
      </c>
      <c r="B871" s="28"/>
      <c r="H871" s="637" t="s">
        <v>25</v>
      </c>
      <c r="I871" s="637"/>
    </row>
    <row r="874" spans="1:9">
      <c r="H874" s="94" t="s">
        <v>27</v>
      </c>
      <c r="I874" s="25"/>
    </row>
    <row r="875" spans="1:9" ht="27">
      <c r="A875" s="2" t="s">
        <v>0</v>
      </c>
      <c r="B875" s="2"/>
    </row>
    <row r="876" spans="1:9">
      <c r="A876" t="s">
        <v>1</v>
      </c>
      <c r="C876" t="s">
        <v>2</v>
      </c>
      <c r="H876" t="s">
        <v>3</v>
      </c>
      <c r="I876" s="73">
        <v>44218</v>
      </c>
    </row>
    <row r="877" spans="1:9">
      <c r="C877" t="s">
        <v>4</v>
      </c>
      <c r="H877" t="s">
        <v>5</v>
      </c>
      <c r="I877" t="s">
        <v>48</v>
      </c>
    </row>
    <row r="878" spans="1:9">
      <c r="C878" t="s">
        <v>7</v>
      </c>
      <c r="H878" s="86"/>
      <c r="I878" s="86" t="s">
        <v>49</v>
      </c>
    </row>
    <row r="879" spans="1:9">
      <c r="A879" t="s">
        <v>8</v>
      </c>
      <c r="C879" s="87" t="s">
        <v>9</v>
      </c>
      <c r="D879" s="87"/>
      <c r="E879" s="87"/>
      <c r="F879" s="87"/>
      <c r="G879" s="87"/>
      <c r="H879" t="s">
        <v>10</v>
      </c>
      <c r="I879" s="114" t="s">
        <v>11</v>
      </c>
    </row>
    <row r="880" spans="1:9">
      <c r="A880" t="s">
        <v>12</v>
      </c>
      <c r="C880" t="s">
        <v>13</v>
      </c>
      <c r="H880" t="s">
        <v>14</v>
      </c>
      <c r="I880" t="s">
        <v>11</v>
      </c>
    </row>
    <row r="881" spans="1:9">
      <c r="A881" s="88" t="s">
        <v>15</v>
      </c>
      <c r="B881" s="89"/>
      <c r="C881" s="74" t="s">
        <v>16</v>
      </c>
      <c r="D881" s="74" t="s">
        <v>81</v>
      </c>
      <c r="E881" s="74" t="s">
        <v>82</v>
      </c>
      <c r="F881" s="74" t="s">
        <v>83</v>
      </c>
      <c r="G881" s="74" t="s">
        <v>84</v>
      </c>
      <c r="H881" s="95" t="s">
        <v>85</v>
      </c>
      <c r="I881" s="95" t="s">
        <v>18</v>
      </c>
    </row>
    <row r="882" spans="1:9">
      <c r="A882" s="90">
        <v>6</v>
      </c>
      <c r="B882" s="91"/>
      <c r="C882" s="89" t="s">
        <v>114</v>
      </c>
      <c r="D882" s="112">
        <v>200</v>
      </c>
      <c r="E882" s="112">
        <v>120</v>
      </c>
      <c r="F882" s="112">
        <v>20</v>
      </c>
      <c r="G882" s="96">
        <v>1570</v>
      </c>
      <c r="H882" s="96">
        <f>G882*F882*E882*D882/1000</f>
        <v>753600</v>
      </c>
      <c r="I882" s="96">
        <f t="shared" ref="I882:I889" si="51">IF(H882="-","-",A882*H882)</f>
        <v>4521600</v>
      </c>
    </row>
    <row r="883" spans="1:9">
      <c r="A883" s="90">
        <v>10</v>
      </c>
      <c r="B883" s="91"/>
      <c r="C883" s="89" t="s">
        <v>114</v>
      </c>
      <c r="D883" s="112">
        <v>200</v>
      </c>
      <c r="E883" s="112">
        <v>140</v>
      </c>
      <c r="F883" s="112">
        <v>20</v>
      </c>
      <c r="G883" s="96">
        <v>1570</v>
      </c>
      <c r="H883" s="96">
        <f>G883*F883*E883*D883/1000</f>
        <v>879200</v>
      </c>
      <c r="I883" s="96">
        <f t="shared" si="51"/>
        <v>8792000</v>
      </c>
    </row>
    <row r="884" spans="1:9">
      <c r="A884" s="90">
        <v>10</v>
      </c>
      <c r="B884" s="91"/>
      <c r="C884" s="89" t="s">
        <v>114</v>
      </c>
      <c r="D884" s="112">
        <v>200</v>
      </c>
      <c r="E884" s="112">
        <v>150</v>
      </c>
      <c r="F884" s="112">
        <v>20</v>
      </c>
      <c r="G884" s="96">
        <v>1570</v>
      </c>
      <c r="H884" s="96">
        <f>G884*F884*E884*D884/1000</f>
        <v>942000</v>
      </c>
      <c r="I884" s="96">
        <f t="shared" si="51"/>
        <v>9420000</v>
      </c>
    </row>
    <row r="885" spans="1:9">
      <c r="A885" s="90">
        <v>10</v>
      </c>
      <c r="B885" s="91"/>
      <c r="C885" s="89" t="s">
        <v>114</v>
      </c>
      <c r="D885" s="112">
        <v>200</v>
      </c>
      <c r="E885" s="112">
        <v>160</v>
      </c>
      <c r="F885" s="112">
        <v>20</v>
      </c>
      <c r="G885" s="96">
        <v>1570</v>
      </c>
      <c r="H885" s="96">
        <f>G885*F885*E885*D885/1000</f>
        <v>1004800</v>
      </c>
      <c r="I885" s="96">
        <f t="shared" si="51"/>
        <v>10048000</v>
      </c>
    </row>
    <row r="886" spans="1:9">
      <c r="A886" s="90">
        <v>9</v>
      </c>
      <c r="B886" s="91"/>
      <c r="C886" s="89" t="s">
        <v>116</v>
      </c>
      <c r="D886" s="112"/>
      <c r="E886" s="112"/>
      <c r="F886" s="112"/>
      <c r="G886" s="96"/>
      <c r="H886" s="96">
        <v>245000</v>
      </c>
      <c r="I886" s="96">
        <f t="shared" si="51"/>
        <v>2205000</v>
      </c>
    </row>
    <row r="887" spans="1:9">
      <c r="A887" s="90"/>
      <c r="B887" s="91"/>
      <c r="C887" s="89"/>
      <c r="D887" s="112"/>
      <c r="E887" s="112"/>
      <c r="F887" s="112"/>
      <c r="G887" s="96"/>
      <c r="H887" s="96"/>
      <c r="I887" s="96">
        <f t="shared" si="51"/>
        <v>0</v>
      </c>
    </row>
    <row r="888" spans="1:9">
      <c r="A888" s="90"/>
      <c r="B888" s="91"/>
      <c r="C888" s="89"/>
      <c r="D888" s="112"/>
      <c r="E888" s="112"/>
      <c r="F888" s="112"/>
      <c r="G888" s="96"/>
      <c r="H888" s="96"/>
      <c r="I888" s="96">
        <f t="shared" si="51"/>
        <v>0</v>
      </c>
    </row>
    <row r="889" spans="1:9">
      <c r="A889" s="90"/>
      <c r="B889" s="91"/>
      <c r="C889" s="89"/>
      <c r="D889" s="112"/>
      <c r="E889" s="112"/>
      <c r="F889" s="112"/>
      <c r="G889" s="96"/>
      <c r="H889" s="96"/>
      <c r="I889" s="96">
        <f t="shared" si="51"/>
        <v>0</v>
      </c>
    </row>
    <row r="890" spans="1:9">
      <c r="A890" s="90"/>
      <c r="B890" s="91"/>
      <c r="C890" s="89"/>
      <c r="D890" s="112"/>
      <c r="E890" s="112"/>
      <c r="F890" s="112"/>
      <c r="G890" s="96"/>
      <c r="H890" s="96"/>
      <c r="I890" s="96"/>
    </row>
    <row r="891" spans="1:9">
      <c r="A891" s="90"/>
      <c r="B891" s="91"/>
      <c r="C891" s="89"/>
      <c r="D891" s="112"/>
      <c r="E891" s="112"/>
      <c r="F891" s="112"/>
      <c r="G891" s="96"/>
      <c r="H891" s="96"/>
      <c r="I891" s="96"/>
    </row>
    <row r="892" spans="1:9">
      <c r="A892" s="90">
        <f>SUM(A882:A891)</f>
        <v>45</v>
      </c>
      <c r="B892" s="91"/>
      <c r="C892" s="74" t="str">
        <f>IF(B892&lt;1,"-",VLOOKUP(B892,HARGA01,2))</f>
        <v>-</v>
      </c>
      <c r="D892" s="74"/>
      <c r="E892" s="74"/>
      <c r="F892" s="74"/>
      <c r="G892" s="74"/>
      <c r="H892" s="96" t="str">
        <f>IF(B892&lt;1,"-",VLOOKUP(B892,HARGA01,3))</f>
        <v>-</v>
      </c>
      <c r="I892" s="96" t="str">
        <f>IF(H892="-","-",A892*H892)</f>
        <v>-</v>
      </c>
    </row>
    <row r="893" spans="1:9">
      <c r="A893" s="634" t="s">
        <v>23</v>
      </c>
      <c r="B893" s="635"/>
      <c r="C893" s="634"/>
      <c r="D893" s="634"/>
      <c r="E893" s="634"/>
      <c r="F893" s="634"/>
      <c r="G893" s="634"/>
      <c r="H893" s="636"/>
      <c r="I893" s="96">
        <f>SUM(I882:I892)</f>
        <v>34986600</v>
      </c>
    </row>
    <row r="894" spans="1:9">
      <c r="A894" s="28" t="s">
        <v>24</v>
      </c>
      <c r="B894" s="28"/>
      <c r="H894" s="637" t="s">
        <v>25</v>
      </c>
      <c r="I894" s="637"/>
    </row>
    <row r="897" spans="1:9">
      <c r="H897" s="94" t="s">
        <v>27</v>
      </c>
      <c r="I897" s="25"/>
    </row>
    <row r="898" spans="1:9" ht="27">
      <c r="A898" s="2" t="s">
        <v>0</v>
      </c>
      <c r="B898" s="2"/>
    </row>
    <row r="899" spans="1:9">
      <c r="A899" t="s">
        <v>1</v>
      </c>
      <c r="C899" t="s">
        <v>2</v>
      </c>
      <c r="H899" t="s">
        <v>3</v>
      </c>
      <c r="I899" s="73">
        <v>44234</v>
      </c>
    </row>
    <row r="900" spans="1:9">
      <c r="C900" t="s">
        <v>4</v>
      </c>
      <c r="H900" t="s">
        <v>5</v>
      </c>
      <c r="I900" t="s">
        <v>48</v>
      </c>
    </row>
    <row r="901" spans="1:9">
      <c r="C901" t="s">
        <v>7</v>
      </c>
      <c r="H901" s="86"/>
      <c r="I901" s="86" t="s">
        <v>49</v>
      </c>
    </row>
    <row r="902" spans="1:9">
      <c r="A902" t="s">
        <v>8</v>
      </c>
      <c r="C902" s="87" t="s">
        <v>9</v>
      </c>
      <c r="D902" s="87"/>
      <c r="E902" s="87"/>
      <c r="F902" s="87"/>
      <c r="G902" s="87"/>
      <c r="H902" t="s">
        <v>10</v>
      </c>
      <c r="I902" s="114" t="s">
        <v>11</v>
      </c>
    </row>
    <row r="903" spans="1:9">
      <c r="A903" t="s">
        <v>12</v>
      </c>
      <c r="C903" t="s">
        <v>13</v>
      </c>
      <c r="H903" t="s">
        <v>14</v>
      </c>
      <c r="I903" t="s">
        <v>11</v>
      </c>
    </row>
    <row r="904" spans="1:9">
      <c r="A904" s="88" t="s">
        <v>15</v>
      </c>
      <c r="B904" s="89"/>
      <c r="C904" s="74" t="s">
        <v>16</v>
      </c>
      <c r="D904" s="74" t="s">
        <v>81</v>
      </c>
      <c r="E904" s="74" t="s">
        <v>82</v>
      </c>
      <c r="F904" s="74" t="s">
        <v>83</v>
      </c>
      <c r="G904" s="74" t="s">
        <v>84</v>
      </c>
      <c r="H904" s="95" t="s">
        <v>85</v>
      </c>
      <c r="I904" s="95" t="s">
        <v>18</v>
      </c>
    </row>
    <row r="905" spans="1:9">
      <c r="A905" s="113">
        <v>8</v>
      </c>
      <c r="B905" s="91"/>
      <c r="C905" s="89" t="s">
        <v>114</v>
      </c>
      <c r="D905" s="112">
        <v>200</v>
      </c>
      <c r="E905" s="112">
        <v>180</v>
      </c>
      <c r="F905" s="112">
        <v>20</v>
      </c>
      <c r="G905" s="96">
        <v>1570</v>
      </c>
      <c r="H905" s="96">
        <f>G905*F905*E905*D905/1000</f>
        <v>1130400</v>
      </c>
      <c r="I905" s="96">
        <f t="shared" ref="I905:I912" si="52">IF(H905="-","-",A905*H905)</f>
        <v>9043200</v>
      </c>
    </row>
    <row r="906" spans="1:9">
      <c r="A906" s="113">
        <v>10</v>
      </c>
      <c r="B906" s="91"/>
      <c r="C906" s="89" t="s">
        <v>114</v>
      </c>
      <c r="D906" s="112">
        <v>200</v>
      </c>
      <c r="E906" s="112">
        <v>120</v>
      </c>
      <c r="F906" s="112">
        <v>20</v>
      </c>
      <c r="G906" s="96">
        <v>1570</v>
      </c>
      <c r="H906" s="96">
        <f>G906*F906*E906*D906/1000</f>
        <v>753600</v>
      </c>
      <c r="I906" s="96">
        <f t="shared" si="52"/>
        <v>7536000</v>
      </c>
    </row>
    <row r="907" spans="1:9">
      <c r="A907" s="113">
        <v>9</v>
      </c>
      <c r="B907" s="91"/>
      <c r="C907" s="89" t="s">
        <v>114</v>
      </c>
      <c r="D907" s="112">
        <v>200</v>
      </c>
      <c r="E907" s="112">
        <v>120</v>
      </c>
      <c r="F907" s="112">
        <v>15</v>
      </c>
      <c r="G907" s="96">
        <v>1570</v>
      </c>
      <c r="H907" s="96">
        <f>G907*F907*E907*D907/1000</f>
        <v>565200</v>
      </c>
      <c r="I907" s="96">
        <f t="shared" si="52"/>
        <v>5086800</v>
      </c>
    </row>
    <row r="908" spans="1:9">
      <c r="A908" s="113">
        <v>10</v>
      </c>
      <c r="B908" s="91"/>
      <c r="C908" s="89" t="s">
        <v>114</v>
      </c>
      <c r="D908" s="112">
        <v>200</v>
      </c>
      <c r="E908" s="112">
        <v>140</v>
      </c>
      <c r="F908" s="112">
        <v>20</v>
      </c>
      <c r="G908" s="96">
        <v>1570</v>
      </c>
      <c r="H908" s="96">
        <f>G908*F908*E908*D908/1000</f>
        <v>879200</v>
      </c>
      <c r="I908" s="96">
        <f t="shared" si="52"/>
        <v>8792000</v>
      </c>
    </row>
    <row r="909" spans="1:9">
      <c r="A909" s="90">
        <v>3</v>
      </c>
      <c r="B909" s="91"/>
      <c r="C909" s="89" t="s">
        <v>114</v>
      </c>
      <c r="D909" s="112">
        <v>200</v>
      </c>
      <c r="E909" s="112">
        <v>160</v>
      </c>
      <c r="F909" s="112">
        <v>20</v>
      </c>
      <c r="G909" s="96">
        <v>1570</v>
      </c>
      <c r="H909" s="96">
        <v>245000</v>
      </c>
      <c r="I909" s="96">
        <f t="shared" si="52"/>
        <v>735000</v>
      </c>
    </row>
    <row r="910" spans="1:9">
      <c r="A910" s="90"/>
      <c r="B910" s="91"/>
      <c r="C910" s="89"/>
      <c r="D910" s="112"/>
      <c r="E910" s="112"/>
      <c r="F910" s="112"/>
      <c r="G910" s="96"/>
      <c r="H910" s="96"/>
      <c r="I910" s="96">
        <f t="shared" si="52"/>
        <v>0</v>
      </c>
    </row>
    <row r="911" spans="1:9">
      <c r="A911" s="90"/>
      <c r="B911" s="91"/>
      <c r="C911" s="89"/>
      <c r="D911" s="112"/>
      <c r="E911" s="112"/>
      <c r="F911" s="112"/>
      <c r="G911" s="96"/>
      <c r="H911" s="96"/>
      <c r="I911" s="96">
        <f t="shared" si="52"/>
        <v>0</v>
      </c>
    </row>
    <row r="912" spans="1:9">
      <c r="A912" s="90"/>
      <c r="B912" s="91"/>
      <c r="C912" s="89"/>
      <c r="D912" s="112"/>
      <c r="E912" s="112"/>
      <c r="F912" s="112"/>
      <c r="G912" s="96"/>
      <c r="H912" s="96"/>
      <c r="I912" s="96">
        <f t="shared" si="52"/>
        <v>0</v>
      </c>
    </row>
    <row r="913" spans="1:9">
      <c r="A913" s="90"/>
      <c r="B913" s="91"/>
      <c r="C913" s="89"/>
      <c r="D913" s="112"/>
      <c r="E913" s="112"/>
      <c r="F913" s="112"/>
      <c r="G913" s="96"/>
      <c r="H913" s="96"/>
      <c r="I913" s="96"/>
    </row>
    <row r="914" spans="1:9">
      <c r="A914" s="90"/>
      <c r="B914" s="91"/>
      <c r="C914" s="89"/>
      <c r="D914" s="112"/>
      <c r="E914" s="112"/>
      <c r="F914" s="112"/>
      <c r="G914" s="96"/>
      <c r="H914" s="96"/>
      <c r="I914" s="96"/>
    </row>
    <row r="915" spans="1:9">
      <c r="A915" s="90">
        <f>SUM(A905:A914)</f>
        <v>40</v>
      </c>
      <c r="B915" s="91"/>
      <c r="C915" s="74" t="str">
        <f>IF(B915&lt;1,"-",VLOOKUP(B915,HARGA01,2))</f>
        <v>-</v>
      </c>
      <c r="D915" s="74"/>
      <c r="E915" s="74"/>
      <c r="F915" s="74"/>
      <c r="G915" s="74"/>
      <c r="H915" s="96" t="str">
        <f>IF(B915&lt;1,"-",VLOOKUP(B915,HARGA01,3))</f>
        <v>-</v>
      </c>
      <c r="I915" s="96" t="str">
        <f>IF(H915="-","-",A915*H915)</f>
        <v>-</v>
      </c>
    </row>
    <row r="916" spans="1:9">
      <c r="A916" s="634" t="s">
        <v>23</v>
      </c>
      <c r="B916" s="635"/>
      <c r="C916" s="634"/>
      <c r="D916" s="634"/>
      <c r="E916" s="634"/>
      <c r="F916" s="634"/>
      <c r="G916" s="634"/>
      <c r="H916" s="636"/>
      <c r="I916" s="96">
        <f>SUM(I905:I915)</f>
        <v>31193000</v>
      </c>
    </row>
    <row r="917" spans="1:9">
      <c r="A917" s="28" t="s">
        <v>24</v>
      </c>
      <c r="B917" s="28"/>
      <c r="H917" s="637" t="s">
        <v>25</v>
      </c>
      <c r="I917" s="637"/>
    </row>
    <row r="920" spans="1:9">
      <c r="H920" s="94" t="s">
        <v>27</v>
      </c>
      <c r="I920" s="25"/>
    </row>
    <row r="921" spans="1:9" ht="27">
      <c r="A921" s="2" t="s">
        <v>0</v>
      </c>
      <c r="B921" s="2"/>
    </row>
    <row r="922" spans="1:9">
      <c r="A922" t="s">
        <v>1</v>
      </c>
      <c r="C922" t="s">
        <v>2</v>
      </c>
      <c r="H922" t="s">
        <v>3</v>
      </c>
      <c r="I922" s="73">
        <v>44241</v>
      </c>
    </row>
    <row r="923" spans="1:9">
      <c r="C923" t="s">
        <v>4</v>
      </c>
      <c r="H923" t="s">
        <v>5</v>
      </c>
      <c r="I923" t="s">
        <v>48</v>
      </c>
    </row>
    <row r="924" spans="1:9">
      <c r="C924" t="s">
        <v>7</v>
      </c>
      <c r="H924" s="86"/>
      <c r="I924" s="86" t="s">
        <v>49</v>
      </c>
    </row>
    <row r="925" spans="1:9">
      <c r="A925" t="s">
        <v>8</v>
      </c>
      <c r="C925" s="87" t="s">
        <v>9</v>
      </c>
      <c r="D925" s="87"/>
      <c r="E925" s="87"/>
      <c r="F925" s="87"/>
      <c r="G925" s="87"/>
      <c r="H925" t="s">
        <v>10</v>
      </c>
      <c r="I925" s="114" t="s">
        <v>11</v>
      </c>
    </row>
    <row r="926" spans="1:9">
      <c r="A926" t="s">
        <v>12</v>
      </c>
      <c r="C926" t="s">
        <v>13</v>
      </c>
      <c r="H926" t="s">
        <v>14</v>
      </c>
      <c r="I926" t="s">
        <v>11</v>
      </c>
    </row>
    <row r="927" spans="1:9">
      <c r="A927" s="88" t="s">
        <v>15</v>
      </c>
      <c r="B927" s="89"/>
      <c r="C927" s="74" t="s">
        <v>16</v>
      </c>
      <c r="D927" s="74" t="s">
        <v>81</v>
      </c>
      <c r="E927" s="74" t="s">
        <v>82</v>
      </c>
      <c r="F927" s="74" t="s">
        <v>83</v>
      </c>
      <c r="G927" s="74" t="s">
        <v>84</v>
      </c>
      <c r="H927" s="95" t="s">
        <v>85</v>
      </c>
      <c r="I927" s="95" t="s">
        <v>18</v>
      </c>
    </row>
    <row r="928" spans="1:9">
      <c r="A928" s="113">
        <v>20</v>
      </c>
      <c r="B928" s="91"/>
      <c r="C928" s="89" t="s">
        <v>117</v>
      </c>
      <c r="D928" s="112"/>
      <c r="E928" s="112"/>
      <c r="F928" s="112"/>
      <c r="G928" s="96"/>
      <c r="H928" s="96">
        <v>245000</v>
      </c>
      <c r="I928" s="96">
        <f t="shared" ref="I928:I935" si="53">IF(H928="-","-",A928*H928)</f>
        <v>4900000</v>
      </c>
    </row>
    <row r="929" spans="1:9">
      <c r="A929" s="113"/>
      <c r="B929" s="91"/>
      <c r="C929" s="89"/>
      <c r="D929" s="112"/>
      <c r="E929" s="112"/>
      <c r="F929" s="112"/>
      <c r="G929" s="96"/>
      <c r="H929" s="96"/>
      <c r="I929" s="96">
        <f t="shared" si="53"/>
        <v>0</v>
      </c>
    </row>
    <row r="930" spans="1:9">
      <c r="A930" s="113"/>
      <c r="B930" s="91"/>
      <c r="C930" s="89"/>
      <c r="D930" s="112"/>
      <c r="E930" s="112"/>
      <c r="F930" s="112"/>
      <c r="G930" s="96"/>
      <c r="H930" s="96"/>
      <c r="I930" s="96">
        <f t="shared" si="53"/>
        <v>0</v>
      </c>
    </row>
    <row r="931" spans="1:9">
      <c r="A931" s="113"/>
      <c r="B931" s="91"/>
      <c r="C931" s="89"/>
      <c r="D931" s="112"/>
      <c r="E931" s="112"/>
      <c r="F931" s="112"/>
      <c r="G931" s="96"/>
      <c r="H931" s="96"/>
      <c r="I931" s="96">
        <f t="shared" si="53"/>
        <v>0</v>
      </c>
    </row>
    <row r="932" spans="1:9">
      <c r="A932" s="90"/>
      <c r="B932" s="91"/>
      <c r="C932" s="89"/>
      <c r="D932" s="112"/>
      <c r="E932" s="112"/>
      <c r="F932" s="112"/>
      <c r="G932" s="96"/>
      <c r="H932" s="96"/>
      <c r="I932" s="96">
        <f t="shared" si="53"/>
        <v>0</v>
      </c>
    </row>
    <row r="933" spans="1:9">
      <c r="A933" s="90"/>
      <c r="B933" s="91"/>
      <c r="C933" s="89"/>
      <c r="D933" s="112"/>
      <c r="E933" s="112"/>
      <c r="F933" s="112"/>
      <c r="G933" s="96"/>
      <c r="H933" s="96"/>
      <c r="I933" s="96">
        <f t="shared" si="53"/>
        <v>0</v>
      </c>
    </row>
    <row r="934" spans="1:9">
      <c r="A934" s="90"/>
      <c r="B934" s="91"/>
      <c r="C934" s="89"/>
      <c r="D934" s="112"/>
      <c r="E934" s="112"/>
      <c r="F934" s="112"/>
      <c r="G934" s="96"/>
      <c r="H934" s="96"/>
      <c r="I934" s="96">
        <f t="shared" si="53"/>
        <v>0</v>
      </c>
    </row>
    <row r="935" spans="1:9">
      <c r="A935" s="90"/>
      <c r="B935" s="91"/>
      <c r="C935" s="89"/>
      <c r="D935" s="112"/>
      <c r="E935" s="112"/>
      <c r="F935" s="112"/>
      <c r="G935" s="96"/>
      <c r="H935" s="96"/>
      <c r="I935" s="96">
        <f t="shared" si="53"/>
        <v>0</v>
      </c>
    </row>
    <row r="936" spans="1:9">
      <c r="A936" s="90"/>
      <c r="B936" s="91"/>
      <c r="C936" s="89"/>
      <c r="D936" s="112"/>
      <c r="E936" s="112"/>
      <c r="F936" s="112"/>
      <c r="G936" s="96"/>
      <c r="H936" s="96"/>
      <c r="I936" s="96"/>
    </row>
    <row r="937" spans="1:9">
      <c r="A937" s="90"/>
      <c r="B937" s="91"/>
      <c r="C937" s="89"/>
      <c r="D937" s="112"/>
      <c r="E937" s="112"/>
      <c r="F937" s="112"/>
      <c r="G937" s="96"/>
      <c r="H937" s="96"/>
      <c r="I937" s="96"/>
    </row>
    <row r="938" spans="1:9">
      <c r="A938" s="90">
        <f>SUM(A928:A937)</f>
        <v>20</v>
      </c>
      <c r="B938" s="91"/>
      <c r="C938" s="74" t="str">
        <f>IF(B938&lt;1,"-",VLOOKUP(B938,HARGA01,2))</f>
        <v>-</v>
      </c>
      <c r="D938" s="74"/>
      <c r="E938" s="74"/>
      <c r="F938" s="74"/>
      <c r="G938" s="74"/>
      <c r="H938" s="96" t="str">
        <f>IF(B938&lt;1,"-",VLOOKUP(B938,HARGA01,3))</f>
        <v>-</v>
      </c>
      <c r="I938" s="96" t="str">
        <f>IF(H938="-","-",A938*H938)</f>
        <v>-</v>
      </c>
    </row>
    <row r="939" spans="1:9">
      <c r="A939" s="634" t="s">
        <v>23</v>
      </c>
      <c r="B939" s="635"/>
      <c r="C939" s="634"/>
      <c r="D939" s="634"/>
      <c r="E939" s="634"/>
      <c r="F939" s="634"/>
      <c r="G939" s="634"/>
      <c r="H939" s="636"/>
      <c r="I939" s="96">
        <f>SUM(I928:I938)</f>
        <v>4900000</v>
      </c>
    </row>
    <row r="940" spans="1:9">
      <c r="A940" s="28" t="s">
        <v>24</v>
      </c>
      <c r="B940" s="28"/>
      <c r="H940" s="637" t="s">
        <v>25</v>
      </c>
      <c r="I940" s="637"/>
    </row>
    <row r="943" spans="1:9">
      <c r="H943" s="94" t="s">
        <v>27</v>
      </c>
      <c r="I943" s="25"/>
    </row>
    <row r="944" spans="1:9" ht="27">
      <c r="A944" s="2" t="s">
        <v>0</v>
      </c>
      <c r="B944" s="2"/>
    </row>
    <row r="945" spans="1:9">
      <c r="A945" t="s">
        <v>1</v>
      </c>
      <c r="C945" t="s">
        <v>2</v>
      </c>
      <c r="H945" t="s">
        <v>3</v>
      </c>
      <c r="I945" s="73">
        <v>44242</v>
      </c>
    </row>
    <row r="946" spans="1:9">
      <c r="C946" t="s">
        <v>4</v>
      </c>
      <c r="H946" t="s">
        <v>5</v>
      </c>
      <c r="I946" t="s">
        <v>48</v>
      </c>
    </row>
    <row r="947" spans="1:9">
      <c r="C947" t="s">
        <v>7</v>
      </c>
      <c r="H947" s="86"/>
      <c r="I947" s="86" t="s">
        <v>49</v>
      </c>
    </row>
    <row r="948" spans="1:9">
      <c r="A948" t="s">
        <v>8</v>
      </c>
      <c r="C948" s="87" t="s">
        <v>9</v>
      </c>
      <c r="D948" s="87"/>
      <c r="E948" s="87"/>
      <c r="F948" s="87"/>
      <c r="G948" s="87"/>
      <c r="H948" t="s">
        <v>10</v>
      </c>
      <c r="I948" s="114" t="s">
        <v>11</v>
      </c>
    </row>
    <row r="949" spans="1:9">
      <c r="A949" t="s">
        <v>12</v>
      </c>
      <c r="C949" t="s">
        <v>13</v>
      </c>
      <c r="H949" t="s">
        <v>14</v>
      </c>
      <c r="I949" t="s">
        <v>11</v>
      </c>
    </row>
    <row r="950" spans="1:9">
      <c r="A950" s="88" t="s">
        <v>15</v>
      </c>
      <c r="B950" s="89"/>
      <c r="C950" s="74" t="s">
        <v>16</v>
      </c>
      <c r="D950" s="74" t="s">
        <v>81</v>
      </c>
      <c r="E950" s="74" t="s">
        <v>82</v>
      </c>
      <c r="F950" s="74" t="s">
        <v>83</v>
      </c>
      <c r="G950" s="74" t="s">
        <v>84</v>
      </c>
      <c r="H950" s="95" t="s">
        <v>85</v>
      </c>
      <c r="I950" s="95" t="s">
        <v>18</v>
      </c>
    </row>
    <row r="951" spans="1:9">
      <c r="A951" s="113">
        <v>10</v>
      </c>
      <c r="B951" s="91"/>
      <c r="C951" s="89" t="s">
        <v>114</v>
      </c>
      <c r="D951" s="112">
        <v>200</v>
      </c>
      <c r="E951" s="112">
        <v>160</v>
      </c>
      <c r="F951" s="112">
        <v>20</v>
      </c>
      <c r="G951" s="96">
        <v>1570</v>
      </c>
      <c r="H951" s="96">
        <f>G951*F951*E951*D951/1000</f>
        <v>1004800</v>
      </c>
      <c r="I951" s="96">
        <f t="shared" ref="I951:I958" si="54">IF(H951="-","-",A951*H951)</f>
        <v>10048000</v>
      </c>
    </row>
    <row r="952" spans="1:9">
      <c r="A952" s="113">
        <v>10</v>
      </c>
      <c r="B952" s="91"/>
      <c r="C952" s="89" t="s">
        <v>118</v>
      </c>
      <c r="D952" s="112"/>
      <c r="E952" s="112"/>
      <c r="F952" s="112"/>
      <c r="G952" s="96"/>
      <c r="H952" s="96">
        <v>260000</v>
      </c>
      <c r="I952" s="96">
        <f t="shared" si="54"/>
        <v>2600000</v>
      </c>
    </row>
    <row r="953" spans="1:9">
      <c r="A953" s="113"/>
      <c r="B953" s="91"/>
      <c r="C953" s="89"/>
      <c r="D953" s="112"/>
      <c r="E953" s="112"/>
      <c r="F953" s="112"/>
      <c r="G953" s="96"/>
      <c r="H953" s="96"/>
      <c r="I953" s="96">
        <f t="shared" si="54"/>
        <v>0</v>
      </c>
    </row>
    <row r="954" spans="1:9">
      <c r="A954" s="113"/>
      <c r="B954" s="91"/>
      <c r="C954" s="89"/>
      <c r="D954" s="112"/>
      <c r="E954" s="112"/>
      <c r="F954" s="112"/>
      <c r="G954" s="96"/>
      <c r="H954" s="96"/>
      <c r="I954" s="96">
        <f t="shared" si="54"/>
        <v>0</v>
      </c>
    </row>
    <row r="955" spans="1:9">
      <c r="A955" s="90"/>
      <c r="B955" s="91"/>
      <c r="C955" s="89"/>
      <c r="D955" s="112"/>
      <c r="E955" s="112"/>
      <c r="F955" s="112"/>
      <c r="G955" s="96"/>
      <c r="H955" s="96"/>
      <c r="I955" s="96">
        <f t="shared" si="54"/>
        <v>0</v>
      </c>
    </row>
    <row r="956" spans="1:9">
      <c r="A956" s="90"/>
      <c r="B956" s="91"/>
      <c r="C956" s="89"/>
      <c r="D956" s="112"/>
      <c r="E956" s="112"/>
      <c r="F956" s="112"/>
      <c r="G956" s="96"/>
      <c r="H956" s="96"/>
      <c r="I956" s="96">
        <f t="shared" si="54"/>
        <v>0</v>
      </c>
    </row>
    <row r="957" spans="1:9">
      <c r="A957" s="90"/>
      <c r="B957" s="91"/>
      <c r="C957" s="89"/>
      <c r="D957" s="112"/>
      <c r="E957" s="112"/>
      <c r="F957" s="112"/>
      <c r="G957" s="96"/>
      <c r="H957" s="96"/>
      <c r="I957" s="96">
        <f t="shared" si="54"/>
        <v>0</v>
      </c>
    </row>
    <row r="958" spans="1:9">
      <c r="A958" s="90"/>
      <c r="B958" s="91"/>
      <c r="C958" s="89"/>
      <c r="D958" s="112"/>
      <c r="E958" s="112"/>
      <c r="F958" s="112"/>
      <c r="G958" s="96"/>
      <c r="H958" s="96"/>
      <c r="I958" s="96">
        <f t="shared" si="54"/>
        <v>0</v>
      </c>
    </row>
    <row r="959" spans="1:9">
      <c r="A959" s="90"/>
      <c r="B959" s="91"/>
      <c r="C959" s="89"/>
      <c r="D959" s="112"/>
      <c r="E959" s="112"/>
      <c r="F959" s="112"/>
      <c r="G959" s="96"/>
      <c r="H959" s="96"/>
      <c r="I959" s="96"/>
    </row>
    <row r="960" spans="1:9">
      <c r="A960" s="90"/>
      <c r="B960" s="91"/>
      <c r="C960" s="89"/>
      <c r="D960" s="112"/>
      <c r="E960" s="112"/>
      <c r="F960" s="112"/>
      <c r="G960" s="96"/>
      <c r="H960" s="96"/>
      <c r="I960" s="96"/>
    </row>
    <row r="961" spans="1:9">
      <c r="A961" s="90">
        <f>SUM(A951:A960)</f>
        <v>20</v>
      </c>
      <c r="B961" s="91"/>
      <c r="C961" s="74" t="str">
        <f>IF(B961&lt;1,"-",VLOOKUP(B961,HARGA01,2))</f>
        <v>-</v>
      </c>
      <c r="D961" s="74"/>
      <c r="E961" s="74"/>
      <c r="F961" s="74"/>
      <c r="G961" s="74"/>
      <c r="H961" s="96" t="str">
        <f>IF(B961&lt;1,"-",VLOOKUP(B961,HARGA01,3))</f>
        <v>-</v>
      </c>
      <c r="I961" s="96" t="str">
        <f>IF(H961="-","-",A961*H961)</f>
        <v>-</v>
      </c>
    </row>
    <row r="962" spans="1:9">
      <c r="A962" s="634" t="s">
        <v>23</v>
      </c>
      <c r="B962" s="635"/>
      <c r="C962" s="634"/>
      <c r="D962" s="634"/>
      <c r="E962" s="634"/>
      <c r="F962" s="634"/>
      <c r="G962" s="634"/>
      <c r="H962" s="636"/>
      <c r="I962" s="96">
        <f>SUM(I951:I961)</f>
        <v>12648000</v>
      </c>
    </row>
    <row r="963" spans="1:9">
      <c r="A963" s="28" t="s">
        <v>24</v>
      </c>
      <c r="B963" s="28"/>
      <c r="H963" s="637" t="s">
        <v>25</v>
      </c>
      <c r="I963" s="637"/>
    </row>
    <row r="966" spans="1:9">
      <c r="H966" s="94" t="s">
        <v>27</v>
      </c>
      <c r="I966" s="25"/>
    </row>
    <row r="967" spans="1:9" ht="27">
      <c r="A967" s="2" t="s">
        <v>0</v>
      </c>
      <c r="B967" s="2"/>
    </row>
    <row r="968" spans="1:9">
      <c r="A968" t="s">
        <v>1</v>
      </c>
      <c r="C968" t="s">
        <v>2</v>
      </c>
      <c r="H968" t="s">
        <v>3</v>
      </c>
      <c r="I968" s="73">
        <v>44242</v>
      </c>
    </row>
    <row r="969" spans="1:9">
      <c r="C969" t="s">
        <v>4</v>
      </c>
      <c r="H969" t="s">
        <v>5</v>
      </c>
      <c r="I969" t="s">
        <v>48</v>
      </c>
    </row>
    <row r="970" spans="1:9">
      <c r="C970" t="s">
        <v>7</v>
      </c>
      <c r="H970" s="86"/>
      <c r="I970" s="86" t="s">
        <v>49</v>
      </c>
    </row>
    <row r="971" spans="1:9">
      <c r="A971" t="s">
        <v>8</v>
      </c>
      <c r="C971" s="87" t="s">
        <v>9</v>
      </c>
      <c r="D971" s="87"/>
      <c r="E971" s="87"/>
      <c r="F971" s="87"/>
      <c r="G971" s="87"/>
      <c r="H971" t="s">
        <v>10</v>
      </c>
      <c r="I971" s="114" t="s">
        <v>11</v>
      </c>
    </row>
    <row r="972" spans="1:9">
      <c r="A972" t="s">
        <v>12</v>
      </c>
      <c r="C972" t="s">
        <v>13</v>
      </c>
      <c r="H972" t="s">
        <v>14</v>
      </c>
      <c r="I972" t="s">
        <v>11</v>
      </c>
    </row>
    <row r="973" spans="1:9">
      <c r="A973" s="88" t="s">
        <v>15</v>
      </c>
      <c r="B973" s="89"/>
      <c r="C973" s="74" t="s">
        <v>16</v>
      </c>
      <c r="D973" s="74" t="s">
        <v>81</v>
      </c>
      <c r="E973" s="74" t="s">
        <v>82</v>
      </c>
      <c r="F973" s="74" t="s">
        <v>83</v>
      </c>
      <c r="G973" s="74" t="s">
        <v>84</v>
      </c>
      <c r="H973" s="95" t="s">
        <v>85</v>
      </c>
      <c r="I973" s="95" t="s">
        <v>18</v>
      </c>
    </row>
    <row r="974" spans="1:9">
      <c r="A974" s="113">
        <v>10</v>
      </c>
      <c r="B974" s="91"/>
      <c r="C974" s="89" t="s">
        <v>114</v>
      </c>
      <c r="D974" s="112">
        <v>200</v>
      </c>
      <c r="E974" s="112">
        <v>160</v>
      </c>
      <c r="F974" s="112">
        <v>20</v>
      </c>
      <c r="G974" s="96">
        <v>1570</v>
      </c>
      <c r="H974" s="96">
        <f>G974*F974*E974*D974/1000</f>
        <v>1004800</v>
      </c>
      <c r="I974" s="96">
        <f t="shared" ref="I974:I981" si="55">IF(H974="-","-",A974*H974)</f>
        <v>10048000</v>
      </c>
    </row>
    <row r="975" spans="1:9">
      <c r="A975" s="113">
        <v>10</v>
      </c>
      <c r="B975" s="91"/>
      <c r="C975" s="89" t="s">
        <v>118</v>
      </c>
      <c r="D975" s="112"/>
      <c r="E975" s="112"/>
      <c r="F975" s="112"/>
      <c r="G975" s="96"/>
      <c r="H975" s="96">
        <v>260000</v>
      </c>
      <c r="I975" s="96">
        <f t="shared" si="55"/>
        <v>2600000</v>
      </c>
    </row>
    <row r="976" spans="1:9">
      <c r="A976" s="113"/>
      <c r="B976" s="91"/>
      <c r="C976" s="89"/>
      <c r="D976" s="112"/>
      <c r="E976" s="112"/>
      <c r="F976" s="112"/>
      <c r="G976" s="96"/>
      <c r="H976" s="96"/>
      <c r="I976" s="96">
        <f t="shared" si="55"/>
        <v>0</v>
      </c>
    </row>
    <row r="977" spans="1:9">
      <c r="A977" s="113"/>
      <c r="B977" s="91"/>
      <c r="C977" s="89"/>
      <c r="D977" s="112"/>
      <c r="E977" s="112"/>
      <c r="F977" s="112"/>
      <c r="G977" s="96"/>
      <c r="H977" s="96"/>
      <c r="I977" s="96">
        <f t="shared" si="55"/>
        <v>0</v>
      </c>
    </row>
    <row r="978" spans="1:9">
      <c r="A978" s="90"/>
      <c r="B978" s="91"/>
      <c r="C978" s="89"/>
      <c r="D978" s="112"/>
      <c r="E978" s="112"/>
      <c r="F978" s="112"/>
      <c r="G978" s="96"/>
      <c r="H978" s="96"/>
      <c r="I978" s="96">
        <f t="shared" si="55"/>
        <v>0</v>
      </c>
    </row>
    <row r="979" spans="1:9">
      <c r="A979" s="90"/>
      <c r="B979" s="91"/>
      <c r="C979" s="89"/>
      <c r="D979" s="112"/>
      <c r="E979" s="112"/>
      <c r="F979" s="112"/>
      <c r="G979" s="96"/>
      <c r="H979" s="96"/>
      <c r="I979" s="96">
        <f t="shared" si="55"/>
        <v>0</v>
      </c>
    </row>
    <row r="980" spans="1:9">
      <c r="A980" s="90"/>
      <c r="B980" s="91"/>
      <c r="C980" s="89"/>
      <c r="D980" s="112"/>
      <c r="E980" s="112"/>
      <c r="F980" s="112"/>
      <c r="G980" s="96"/>
      <c r="H980" s="96"/>
      <c r="I980" s="96">
        <f t="shared" si="55"/>
        <v>0</v>
      </c>
    </row>
    <row r="981" spans="1:9">
      <c r="A981" s="90"/>
      <c r="B981" s="91"/>
      <c r="C981" s="89"/>
      <c r="D981" s="112"/>
      <c r="E981" s="112"/>
      <c r="F981" s="112"/>
      <c r="G981" s="96"/>
      <c r="H981" s="96"/>
      <c r="I981" s="96">
        <f t="shared" si="55"/>
        <v>0</v>
      </c>
    </row>
    <row r="982" spans="1:9">
      <c r="A982" s="90"/>
      <c r="B982" s="91"/>
      <c r="C982" s="89"/>
      <c r="D982" s="112"/>
      <c r="E982" s="112"/>
      <c r="F982" s="112"/>
      <c r="G982" s="96"/>
      <c r="H982" s="96"/>
      <c r="I982" s="96"/>
    </row>
    <row r="983" spans="1:9">
      <c r="A983" s="90"/>
      <c r="B983" s="91"/>
      <c r="C983" s="89"/>
      <c r="D983" s="112"/>
      <c r="E983" s="112"/>
      <c r="F983" s="112"/>
      <c r="G983" s="96"/>
      <c r="H983" s="96"/>
      <c r="I983" s="96"/>
    </row>
    <row r="984" spans="1:9">
      <c r="A984" s="90">
        <f>SUM(A974:A983)</f>
        <v>20</v>
      </c>
      <c r="B984" s="91"/>
      <c r="C984" s="74" t="str">
        <f>IF(B984&lt;1,"-",VLOOKUP(B984,HARGA01,2))</f>
        <v>-</v>
      </c>
      <c r="D984" s="74"/>
      <c r="E984" s="74"/>
      <c r="F984" s="74"/>
      <c r="G984" s="74"/>
      <c r="H984" s="96" t="str">
        <f>IF(B984&lt;1,"-",VLOOKUP(B984,HARGA01,3))</f>
        <v>-</v>
      </c>
      <c r="I984" s="96" t="str">
        <f>IF(H984="-","-",A984*H984)</f>
        <v>-</v>
      </c>
    </row>
    <row r="985" spans="1:9">
      <c r="A985" s="634" t="s">
        <v>23</v>
      </c>
      <c r="B985" s="634"/>
      <c r="C985" s="634"/>
      <c r="D985" s="634"/>
      <c r="E985" s="634"/>
      <c r="F985" s="634"/>
      <c r="G985" s="634"/>
      <c r="H985" s="636"/>
      <c r="I985" s="96">
        <f>SUM(I974:I984)</f>
        <v>12648000</v>
      </c>
    </row>
    <row r="986" spans="1:9">
      <c r="A986" s="28" t="s">
        <v>24</v>
      </c>
      <c r="B986" s="28"/>
      <c r="H986" s="638" t="s">
        <v>25</v>
      </c>
      <c r="I986" s="638"/>
    </row>
    <row r="989" spans="1:9">
      <c r="H989" s="94" t="s">
        <v>27</v>
      </c>
      <c r="I989" s="25"/>
    </row>
    <row r="990" spans="1:9" ht="27">
      <c r="A990" s="2" t="s">
        <v>0</v>
      </c>
      <c r="B990" s="2"/>
    </row>
    <row r="991" spans="1:9">
      <c r="A991" t="s">
        <v>1</v>
      </c>
      <c r="C991" t="s">
        <v>2</v>
      </c>
      <c r="H991" t="s">
        <v>3</v>
      </c>
      <c r="I991" s="73">
        <v>44242</v>
      </c>
    </row>
    <row r="992" spans="1:9">
      <c r="C992" t="s">
        <v>4</v>
      </c>
      <c r="H992" t="s">
        <v>5</v>
      </c>
      <c r="I992" t="s">
        <v>48</v>
      </c>
    </row>
    <row r="993" spans="1:9">
      <c r="C993" t="s">
        <v>7</v>
      </c>
      <c r="H993" s="86"/>
      <c r="I993" s="86" t="s">
        <v>49</v>
      </c>
    </row>
    <row r="994" spans="1:9">
      <c r="A994" t="s">
        <v>8</v>
      </c>
      <c r="C994" s="87" t="s">
        <v>9</v>
      </c>
      <c r="D994" s="87"/>
      <c r="E994" s="87"/>
      <c r="F994" s="87"/>
      <c r="G994" s="87"/>
      <c r="H994" t="s">
        <v>10</v>
      </c>
      <c r="I994" s="114" t="s">
        <v>11</v>
      </c>
    </row>
    <row r="995" spans="1:9">
      <c r="A995" t="s">
        <v>12</v>
      </c>
      <c r="C995" t="s">
        <v>13</v>
      </c>
      <c r="H995" t="s">
        <v>14</v>
      </c>
      <c r="I995" t="s">
        <v>11</v>
      </c>
    </row>
    <row r="996" spans="1:9">
      <c r="A996" s="88" t="s">
        <v>15</v>
      </c>
      <c r="B996" s="89"/>
      <c r="C996" s="74" t="s">
        <v>16</v>
      </c>
      <c r="D996" s="74" t="s">
        <v>81</v>
      </c>
      <c r="E996" s="74" t="s">
        <v>82</v>
      </c>
      <c r="F996" s="74" t="s">
        <v>83</v>
      </c>
      <c r="G996" s="74" t="s">
        <v>84</v>
      </c>
      <c r="H996" s="95" t="s">
        <v>85</v>
      </c>
      <c r="I996" s="95" t="s">
        <v>18</v>
      </c>
    </row>
    <row r="997" spans="1:9">
      <c r="A997" s="113">
        <v>10</v>
      </c>
      <c r="B997" s="91"/>
      <c r="C997" s="89" t="s">
        <v>114</v>
      </c>
      <c r="D997" s="112">
        <v>200</v>
      </c>
      <c r="E997" s="112">
        <v>160</v>
      </c>
      <c r="F997" s="112">
        <v>20</v>
      </c>
      <c r="G997" s="96">
        <v>1570</v>
      </c>
      <c r="H997" s="96">
        <f>G997*F997*E997*D997/1000</f>
        <v>1004800</v>
      </c>
      <c r="I997" s="96">
        <f t="shared" ref="I997:I1004" si="56">IF(H997="-","-",A997*H997)</f>
        <v>10048000</v>
      </c>
    </row>
    <row r="998" spans="1:9">
      <c r="A998" s="113">
        <v>10</v>
      </c>
      <c r="B998" s="91"/>
      <c r="C998" s="89" t="s">
        <v>118</v>
      </c>
      <c r="D998" s="112"/>
      <c r="E998" s="112"/>
      <c r="F998" s="112"/>
      <c r="G998" s="96"/>
      <c r="H998" s="96">
        <v>260000</v>
      </c>
      <c r="I998" s="96">
        <f t="shared" si="56"/>
        <v>2600000</v>
      </c>
    </row>
    <row r="999" spans="1:9">
      <c r="A999" s="113"/>
      <c r="B999" s="91"/>
      <c r="C999" s="89"/>
      <c r="D999" s="112"/>
      <c r="E999" s="112"/>
      <c r="F999" s="112"/>
      <c r="G999" s="96"/>
      <c r="H999" s="96"/>
      <c r="I999" s="96">
        <f t="shared" si="56"/>
        <v>0</v>
      </c>
    </row>
    <row r="1000" spans="1:9">
      <c r="A1000" s="113"/>
      <c r="B1000" s="91"/>
      <c r="C1000" s="89"/>
      <c r="D1000" s="112"/>
      <c r="E1000" s="112"/>
      <c r="F1000" s="112"/>
      <c r="G1000" s="96"/>
      <c r="H1000" s="96"/>
      <c r="I1000" s="96">
        <f t="shared" si="56"/>
        <v>0</v>
      </c>
    </row>
    <row r="1001" spans="1:9">
      <c r="A1001" s="90"/>
      <c r="B1001" s="91"/>
      <c r="C1001" s="89"/>
      <c r="D1001" s="112"/>
      <c r="E1001" s="112"/>
      <c r="F1001" s="112"/>
      <c r="G1001" s="96"/>
      <c r="H1001" s="96"/>
      <c r="I1001" s="96">
        <f t="shared" si="56"/>
        <v>0</v>
      </c>
    </row>
    <row r="1002" spans="1:9">
      <c r="A1002" s="90"/>
      <c r="B1002" s="91"/>
      <c r="C1002" s="89"/>
      <c r="D1002" s="112"/>
      <c r="E1002" s="112"/>
      <c r="F1002" s="112"/>
      <c r="G1002" s="96"/>
      <c r="H1002" s="96"/>
      <c r="I1002" s="96">
        <f t="shared" si="56"/>
        <v>0</v>
      </c>
    </row>
    <row r="1003" spans="1:9">
      <c r="A1003" s="90"/>
      <c r="B1003" s="91"/>
      <c r="C1003" s="89"/>
      <c r="D1003" s="112"/>
      <c r="E1003" s="112"/>
      <c r="F1003" s="112"/>
      <c r="G1003" s="96"/>
      <c r="H1003" s="96"/>
      <c r="I1003" s="96">
        <f t="shared" si="56"/>
        <v>0</v>
      </c>
    </row>
    <row r="1004" spans="1:9">
      <c r="A1004" s="90"/>
      <c r="B1004" s="91"/>
      <c r="C1004" s="89"/>
      <c r="D1004" s="112"/>
      <c r="E1004" s="112"/>
      <c r="F1004" s="112"/>
      <c r="G1004" s="96"/>
      <c r="H1004" s="96"/>
      <c r="I1004" s="96">
        <f t="shared" si="56"/>
        <v>0</v>
      </c>
    </row>
    <row r="1005" spans="1:9">
      <c r="A1005" s="90"/>
      <c r="B1005" s="91"/>
      <c r="C1005" s="89"/>
      <c r="D1005" s="112"/>
      <c r="E1005" s="112"/>
      <c r="F1005" s="112"/>
      <c r="G1005" s="96"/>
      <c r="H1005" s="96"/>
      <c r="I1005" s="96"/>
    </row>
    <row r="1006" spans="1:9">
      <c r="A1006" s="90"/>
      <c r="B1006" s="91"/>
      <c r="C1006" s="89"/>
      <c r="D1006" s="112"/>
      <c r="E1006" s="112"/>
      <c r="F1006" s="112"/>
      <c r="G1006" s="96"/>
      <c r="H1006" s="96"/>
      <c r="I1006" s="96"/>
    </row>
    <row r="1007" spans="1:9">
      <c r="A1007" s="90">
        <f>SUM(A997:A1006)</f>
        <v>20</v>
      </c>
      <c r="B1007" s="91"/>
      <c r="C1007" s="74" t="str">
        <f>IF(B1007&lt;1,"-",VLOOKUP(B1007,HARGA01,2))</f>
        <v>-</v>
      </c>
      <c r="D1007" s="74"/>
      <c r="E1007" s="74"/>
      <c r="F1007" s="74"/>
      <c r="G1007" s="74"/>
      <c r="H1007" s="96" t="str">
        <f>IF(B1007&lt;1,"-",VLOOKUP(B1007,HARGA01,3))</f>
        <v>-</v>
      </c>
      <c r="I1007" s="96" t="str">
        <f>IF(H1007="-","-",A1007*H1007)</f>
        <v>-</v>
      </c>
    </row>
    <row r="1008" spans="1:9">
      <c r="A1008" s="634" t="s">
        <v>23</v>
      </c>
      <c r="B1008" s="635"/>
      <c r="C1008" s="634"/>
      <c r="D1008" s="634"/>
      <c r="E1008" s="634"/>
      <c r="F1008" s="634"/>
      <c r="G1008" s="634"/>
      <c r="H1008" s="636"/>
      <c r="I1008" s="96">
        <f>SUM(I997:I1007)</f>
        <v>12648000</v>
      </c>
    </row>
    <row r="1009" spans="1:9">
      <c r="A1009" s="28" t="s">
        <v>24</v>
      </c>
      <c r="B1009" s="28"/>
      <c r="H1009" s="637" t="s">
        <v>25</v>
      </c>
      <c r="I1009" s="637"/>
    </row>
    <row r="1012" spans="1:9">
      <c r="H1012" s="94" t="s">
        <v>27</v>
      </c>
      <c r="I1012" s="25"/>
    </row>
    <row r="1013" spans="1:9" ht="27">
      <c r="A1013" s="2" t="s">
        <v>0</v>
      </c>
      <c r="B1013" s="2"/>
    </row>
    <row r="1014" spans="1:9">
      <c r="A1014" t="s">
        <v>1</v>
      </c>
      <c r="C1014" t="s">
        <v>2</v>
      </c>
      <c r="H1014" t="s">
        <v>3</v>
      </c>
      <c r="I1014" s="73">
        <v>44245</v>
      </c>
    </row>
    <row r="1015" spans="1:9">
      <c r="C1015" t="s">
        <v>4</v>
      </c>
      <c r="H1015" t="s">
        <v>5</v>
      </c>
      <c r="I1015" t="s">
        <v>48</v>
      </c>
    </row>
    <row r="1016" spans="1:9">
      <c r="C1016" t="s">
        <v>7</v>
      </c>
      <c r="H1016" s="86"/>
      <c r="I1016" s="86" t="s">
        <v>49</v>
      </c>
    </row>
    <row r="1017" spans="1:9">
      <c r="A1017" t="s">
        <v>8</v>
      </c>
      <c r="C1017" s="87" t="s">
        <v>9</v>
      </c>
      <c r="D1017" s="87"/>
      <c r="E1017" s="87"/>
      <c r="F1017" s="87"/>
      <c r="G1017" s="87"/>
      <c r="H1017" t="s">
        <v>10</v>
      </c>
      <c r="I1017" s="114" t="s">
        <v>11</v>
      </c>
    </row>
    <row r="1018" spans="1:9">
      <c r="A1018" t="s">
        <v>12</v>
      </c>
      <c r="C1018" t="s">
        <v>13</v>
      </c>
      <c r="H1018" t="s">
        <v>14</v>
      </c>
      <c r="I1018" t="s">
        <v>11</v>
      </c>
    </row>
    <row r="1019" spans="1:9">
      <c r="A1019" s="88" t="s">
        <v>15</v>
      </c>
      <c r="B1019" s="89"/>
      <c r="C1019" s="74" t="s">
        <v>16</v>
      </c>
      <c r="D1019" s="74" t="s">
        <v>81</v>
      </c>
      <c r="E1019" s="74" t="s">
        <v>82</v>
      </c>
      <c r="F1019" s="74" t="s">
        <v>83</v>
      </c>
      <c r="G1019" s="74" t="s">
        <v>84</v>
      </c>
      <c r="H1019" s="95" t="s">
        <v>85</v>
      </c>
      <c r="I1019" s="95" t="s">
        <v>18</v>
      </c>
    </row>
    <row r="1020" spans="1:9">
      <c r="A1020" s="113">
        <v>5</v>
      </c>
      <c r="B1020" s="91"/>
      <c r="C1020" s="89" t="s">
        <v>114</v>
      </c>
      <c r="D1020" s="112">
        <v>200</v>
      </c>
      <c r="E1020" s="112">
        <v>140</v>
      </c>
      <c r="F1020" s="112">
        <v>30</v>
      </c>
      <c r="G1020" s="96">
        <v>1570</v>
      </c>
      <c r="H1020" s="96">
        <f>G1020*F1020*E1020*D1020/1000</f>
        <v>1318800</v>
      </c>
      <c r="I1020" s="96">
        <f t="shared" ref="I1020:I1027" si="57">IF(H1020="-","-",A1020*H1020)</f>
        <v>6594000</v>
      </c>
    </row>
    <row r="1021" spans="1:9">
      <c r="A1021" s="113"/>
      <c r="B1021" s="91"/>
      <c r="C1021" s="89"/>
      <c r="D1021" s="112"/>
      <c r="E1021" s="112"/>
      <c r="F1021" s="112"/>
      <c r="G1021" s="96"/>
      <c r="H1021" s="96"/>
      <c r="I1021" s="96">
        <f t="shared" si="57"/>
        <v>0</v>
      </c>
    </row>
    <row r="1022" spans="1:9">
      <c r="A1022" s="113"/>
      <c r="B1022" s="91"/>
      <c r="C1022" s="89"/>
      <c r="D1022" s="112"/>
      <c r="E1022" s="112"/>
      <c r="F1022" s="112"/>
      <c r="G1022" s="96"/>
      <c r="H1022" s="96"/>
      <c r="I1022" s="96">
        <f t="shared" si="57"/>
        <v>0</v>
      </c>
    </row>
    <row r="1023" spans="1:9">
      <c r="A1023" s="113"/>
      <c r="B1023" s="91"/>
      <c r="C1023" s="89"/>
      <c r="D1023" s="112"/>
      <c r="E1023" s="112"/>
      <c r="F1023" s="112"/>
      <c r="G1023" s="96"/>
      <c r="H1023" s="96"/>
      <c r="I1023" s="96">
        <f t="shared" si="57"/>
        <v>0</v>
      </c>
    </row>
    <row r="1024" spans="1:9">
      <c r="A1024" s="90"/>
      <c r="B1024" s="91"/>
      <c r="C1024" s="89"/>
      <c r="D1024" s="112"/>
      <c r="E1024" s="112"/>
      <c r="F1024" s="112"/>
      <c r="G1024" s="96"/>
      <c r="H1024" s="96"/>
      <c r="I1024" s="96">
        <f t="shared" si="57"/>
        <v>0</v>
      </c>
    </row>
    <row r="1025" spans="1:9">
      <c r="A1025" s="90"/>
      <c r="B1025" s="91"/>
      <c r="C1025" s="89"/>
      <c r="D1025" s="112"/>
      <c r="E1025" s="112"/>
      <c r="F1025" s="112"/>
      <c r="G1025" s="96"/>
      <c r="H1025" s="96"/>
      <c r="I1025" s="96">
        <f t="shared" si="57"/>
        <v>0</v>
      </c>
    </row>
    <row r="1026" spans="1:9">
      <c r="A1026" s="90"/>
      <c r="B1026" s="91"/>
      <c r="C1026" s="89"/>
      <c r="D1026" s="112"/>
      <c r="E1026" s="112"/>
      <c r="F1026" s="112"/>
      <c r="G1026" s="96"/>
      <c r="H1026" s="96"/>
      <c r="I1026" s="96">
        <f t="shared" si="57"/>
        <v>0</v>
      </c>
    </row>
    <row r="1027" spans="1:9">
      <c r="A1027" s="90"/>
      <c r="B1027" s="91"/>
      <c r="C1027" s="89"/>
      <c r="D1027" s="112"/>
      <c r="E1027" s="112"/>
      <c r="F1027" s="112"/>
      <c r="G1027" s="96"/>
      <c r="H1027" s="96"/>
      <c r="I1027" s="96">
        <f t="shared" si="57"/>
        <v>0</v>
      </c>
    </row>
    <row r="1028" spans="1:9">
      <c r="A1028" s="90"/>
      <c r="B1028" s="91"/>
      <c r="C1028" s="89"/>
      <c r="D1028" s="112"/>
      <c r="E1028" s="112"/>
      <c r="F1028" s="112"/>
      <c r="G1028" s="96"/>
      <c r="H1028" s="96"/>
      <c r="I1028" s="96"/>
    </row>
    <row r="1029" spans="1:9">
      <c r="A1029" s="90"/>
      <c r="B1029" s="91"/>
      <c r="C1029" s="89"/>
      <c r="D1029" s="112"/>
      <c r="E1029" s="112"/>
      <c r="F1029" s="112"/>
      <c r="G1029" s="96"/>
      <c r="H1029" s="96"/>
      <c r="I1029" s="96"/>
    </row>
    <row r="1030" spans="1:9">
      <c r="A1030" s="90">
        <f>SUM(A1020:A1029)</f>
        <v>5</v>
      </c>
      <c r="B1030" s="91"/>
      <c r="C1030" s="74" t="str">
        <f>IF(B1030&lt;1,"-",VLOOKUP(B1030,HARGA01,2))</f>
        <v>-</v>
      </c>
      <c r="D1030" s="74"/>
      <c r="E1030" s="74"/>
      <c r="F1030" s="74"/>
      <c r="G1030" s="74"/>
      <c r="H1030" s="96" t="str">
        <f>IF(B1030&lt;1,"-",VLOOKUP(B1030,HARGA01,3))</f>
        <v>-</v>
      </c>
      <c r="I1030" s="96" t="str">
        <f>IF(H1030="-","-",A1030*H1030)</f>
        <v>-</v>
      </c>
    </row>
    <row r="1031" spans="1:9">
      <c r="A1031" s="634" t="s">
        <v>23</v>
      </c>
      <c r="B1031" s="635"/>
      <c r="C1031" s="634"/>
      <c r="D1031" s="634"/>
      <c r="E1031" s="634"/>
      <c r="F1031" s="634"/>
      <c r="G1031" s="634"/>
      <c r="H1031" s="636"/>
      <c r="I1031" s="96">
        <f>SUM(I1020:I1030)</f>
        <v>6594000</v>
      </c>
    </row>
    <row r="1032" spans="1:9">
      <c r="A1032" s="28" t="s">
        <v>24</v>
      </c>
      <c r="B1032" s="28"/>
      <c r="H1032" s="637" t="s">
        <v>25</v>
      </c>
      <c r="I1032" s="637"/>
    </row>
    <row r="1035" spans="1:9">
      <c r="H1035" s="94" t="s">
        <v>27</v>
      </c>
      <c r="I1035" s="25"/>
    </row>
    <row r="1036" spans="1:9" ht="27">
      <c r="A1036" s="2" t="s">
        <v>0</v>
      </c>
      <c r="B1036" s="2"/>
    </row>
    <row r="1037" spans="1:9">
      <c r="A1037" t="s">
        <v>1</v>
      </c>
      <c r="C1037" t="s">
        <v>2</v>
      </c>
      <c r="H1037" t="s">
        <v>3</v>
      </c>
      <c r="I1037" s="73">
        <v>44247</v>
      </c>
    </row>
    <row r="1038" spans="1:9">
      <c r="C1038" t="s">
        <v>4</v>
      </c>
      <c r="H1038" t="s">
        <v>5</v>
      </c>
      <c r="I1038" t="s">
        <v>48</v>
      </c>
    </row>
    <row r="1039" spans="1:9">
      <c r="C1039" t="s">
        <v>7</v>
      </c>
      <c r="H1039" s="86"/>
      <c r="I1039" s="86" t="s">
        <v>49</v>
      </c>
    </row>
    <row r="1040" spans="1:9">
      <c r="A1040" t="s">
        <v>8</v>
      </c>
      <c r="C1040" s="87" t="s">
        <v>9</v>
      </c>
      <c r="D1040" s="87"/>
      <c r="E1040" s="87"/>
      <c r="F1040" s="87"/>
      <c r="G1040" s="87"/>
      <c r="H1040" t="s">
        <v>10</v>
      </c>
      <c r="I1040" s="114" t="s">
        <v>11</v>
      </c>
    </row>
    <row r="1041" spans="1:9">
      <c r="A1041" t="s">
        <v>12</v>
      </c>
      <c r="C1041" t="s">
        <v>13</v>
      </c>
      <c r="H1041" t="s">
        <v>14</v>
      </c>
      <c r="I1041" t="s">
        <v>11</v>
      </c>
    </row>
    <row r="1042" spans="1:9">
      <c r="A1042" s="88" t="s">
        <v>15</v>
      </c>
      <c r="B1042" s="89"/>
      <c r="C1042" s="74" t="s">
        <v>16</v>
      </c>
      <c r="D1042" s="74" t="s">
        <v>81</v>
      </c>
      <c r="E1042" s="74" t="s">
        <v>82</v>
      </c>
      <c r="F1042" s="74" t="s">
        <v>83</v>
      </c>
      <c r="G1042" s="74" t="s">
        <v>84</v>
      </c>
      <c r="H1042" s="95" t="s">
        <v>85</v>
      </c>
      <c r="I1042" s="95" t="s">
        <v>18</v>
      </c>
    </row>
    <row r="1043" spans="1:9">
      <c r="A1043" s="90">
        <v>10</v>
      </c>
      <c r="B1043" s="91"/>
      <c r="C1043" s="89" t="s">
        <v>114</v>
      </c>
      <c r="D1043" s="112">
        <v>200</v>
      </c>
      <c r="E1043" s="112">
        <v>120</v>
      </c>
      <c r="F1043" s="112">
        <v>20</v>
      </c>
      <c r="G1043" s="96">
        <v>1570</v>
      </c>
      <c r="H1043" s="96">
        <f>G1043*F1043*E1043*D1043/1000</f>
        <v>753600</v>
      </c>
      <c r="I1043" s="96">
        <f t="shared" ref="I1043:I1050" si="58">IF(H1043="-","-",A1043*H1043)</f>
        <v>7536000</v>
      </c>
    </row>
    <row r="1044" spans="1:9">
      <c r="A1044" s="90">
        <v>10</v>
      </c>
      <c r="B1044" s="91"/>
      <c r="C1044" s="89" t="s">
        <v>114</v>
      </c>
      <c r="D1044" s="112">
        <v>200</v>
      </c>
      <c r="E1044" s="112">
        <v>140</v>
      </c>
      <c r="F1044" s="112">
        <v>20</v>
      </c>
      <c r="G1044" s="96">
        <v>1570</v>
      </c>
      <c r="H1044" s="96">
        <f>G1044*F1044*E1044*D1044/1000</f>
        <v>879200</v>
      </c>
      <c r="I1044" s="96">
        <f t="shared" si="58"/>
        <v>8792000</v>
      </c>
    </row>
    <row r="1045" spans="1:9">
      <c r="A1045" s="90">
        <v>12</v>
      </c>
      <c r="B1045" s="91"/>
      <c r="C1045" s="89" t="s">
        <v>114</v>
      </c>
      <c r="D1045" s="112">
        <v>200</v>
      </c>
      <c r="E1045" s="112">
        <v>160</v>
      </c>
      <c r="F1045" s="112">
        <v>20</v>
      </c>
      <c r="G1045" s="96">
        <v>1570</v>
      </c>
      <c r="H1045" s="96">
        <f>G1045*F1045*E1045*D1045/1000</f>
        <v>1004800</v>
      </c>
      <c r="I1045" s="96">
        <f t="shared" si="58"/>
        <v>12057600</v>
      </c>
    </row>
    <row r="1046" spans="1:9">
      <c r="A1046" s="90">
        <v>5</v>
      </c>
      <c r="B1046" s="91"/>
      <c r="C1046" s="89" t="s">
        <v>114</v>
      </c>
      <c r="D1046" s="112">
        <v>200</v>
      </c>
      <c r="E1046" s="112">
        <v>180</v>
      </c>
      <c r="F1046" s="112">
        <v>20</v>
      </c>
      <c r="G1046" s="96">
        <v>1570</v>
      </c>
      <c r="H1046" s="96">
        <f>G1046*F1046*E1046*D1046/1000</f>
        <v>1130400</v>
      </c>
      <c r="I1046" s="96">
        <f t="shared" si="58"/>
        <v>5652000</v>
      </c>
    </row>
    <row r="1047" spans="1:9">
      <c r="A1047" s="90">
        <v>5</v>
      </c>
      <c r="B1047" s="91"/>
      <c r="C1047" s="89" t="s">
        <v>114</v>
      </c>
      <c r="D1047" s="112">
        <v>200</v>
      </c>
      <c r="E1047" s="112">
        <v>120</v>
      </c>
      <c r="F1047" s="112">
        <v>30</v>
      </c>
      <c r="G1047" s="96">
        <v>1570</v>
      </c>
      <c r="H1047" s="96">
        <f>G1047*F1047*E1047*D1047/1000</f>
        <v>1130400</v>
      </c>
      <c r="I1047" s="96">
        <f t="shared" si="58"/>
        <v>5652000</v>
      </c>
    </row>
    <row r="1048" spans="1:9">
      <c r="A1048" s="90"/>
      <c r="B1048" s="91"/>
      <c r="C1048" s="89"/>
      <c r="D1048" s="112"/>
      <c r="E1048" s="112"/>
      <c r="F1048" s="112"/>
      <c r="G1048" s="96"/>
      <c r="H1048" s="96"/>
      <c r="I1048" s="96">
        <f t="shared" si="58"/>
        <v>0</v>
      </c>
    </row>
    <row r="1049" spans="1:9">
      <c r="A1049" s="90"/>
      <c r="B1049" s="91"/>
      <c r="C1049" s="89"/>
      <c r="D1049" s="112"/>
      <c r="E1049" s="112"/>
      <c r="F1049" s="112"/>
      <c r="G1049" s="96"/>
      <c r="H1049" s="96"/>
      <c r="I1049" s="96">
        <f t="shared" si="58"/>
        <v>0</v>
      </c>
    </row>
    <row r="1050" spans="1:9">
      <c r="A1050" s="90"/>
      <c r="B1050" s="91"/>
      <c r="C1050" s="89"/>
      <c r="D1050" s="112"/>
      <c r="E1050" s="112"/>
      <c r="F1050" s="112"/>
      <c r="G1050" s="96"/>
      <c r="H1050" s="96"/>
      <c r="I1050" s="96">
        <f t="shared" si="58"/>
        <v>0</v>
      </c>
    </row>
    <row r="1051" spans="1:9">
      <c r="A1051" s="90"/>
      <c r="B1051" s="91"/>
      <c r="C1051" s="89"/>
      <c r="D1051" s="112"/>
      <c r="E1051" s="112"/>
      <c r="F1051" s="112"/>
      <c r="G1051" s="96"/>
      <c r="H1051" s="96"/>
      <c r="I1051" s="96"/>
    </row>
    <row r="1052" spans="1:9">
      <c r="A1052" s="90"/>
      <c r="B1052" s="91"/>
      <c r="C1052" s="89"/>
      <c r="D1052" s="112"/>
      <c r="E1052" s="112"/>
      <c r="F1052" s="112"/>
      <c r="G1052" s="96"/>
      <c r="H1052" s="96"/>
      <c r="I1052" s="96"/>
    </row>
    <row r="1053" spans="1:9">
      <c r="A1053" s="90">
        <f>SUM(A1043:A1052)</f>
        <v>42</v>
      </c>
      <c r="B1053" s="91"/>
      <c r="C1053" s="74" t="str">
        <f>IF(B1053&lt;1,"-",VLOOKUP(B1053,HARGA01,2))</f>
        <v>-</v>
      </c>
      <c r="D1053" s="74"/>
      <c r="E1053" s="74"/>
      <c r="F1053" s="74"/>
      <c r="G1053" s="74"/>
      <c r="H1053" s="96" t="str">
        <f>IF(B1053&lt;1,"-",VLOOKUP(B1053,HARGA01,3))</f>
        <v>-</v>
      </c>
      <c r="I1053" s="96" t="str">
        <f>IF(H1053="-","-",A1053*H1053)</f>
        <v>-</v>
      </c>
    </row>
    <row r="1054" spans="1:9">
      <c r="A1054" s="634" t="s">
        <v>23</v>
      </c>
      <c r="B1054" s="635"/>
      <c r="C1054" s="634"/>
      <c r="D1054" s="634"/>
      <c r="E1054" s="634"/>
      <c r="F1054" s="634"/>
      <c r="G1054" s="634"/>
      <c r="H1054" s="636"/>
      <c r="I1054" s="96">
        <f>SUM(I1043:I1053)</f>
        <v>39689600</v>
      </c>
    </row>
    <row r="1055" spans="1:9">
      <c r="A1055" s="28" t="s">
        <v>24</v>
      </c>
      <c r="B1055" s="28"/>
      <c r="H1055" s="637" t="s">
        <v>25</v>
      </c>
      <c r="I1055" s="637"/>
    </row>
    <row r="1058" spans="1:9">
      <c r="H1058" s="94" t="s">
        <v>27</v>
      </c>
      <c r="I1058" s="25"/>
    </row>
    <row r="1059" spans="1:9" ht="27">
      <c r="A1059" s="2" t="s">
        <v>0</v>
      </c>
      <c r="B1059" s="2"/>
    </row>
    <row r="1060" spans="1:9">
      <c r="A1060" t="s">
        <v>1</v>
      </c>
      <c r="C1060" t="s">
        <v>2</v>
      </c>
      <c r="H1060" t="s">
        <v>3</v>
      </c>
      <c r="I1060" s="73">
        <v>44254</v>
      </c>
    </row>
    <row r="1061" spans="1:9">
      <c r="C1061" t="s">
        <v>4</v>
      </c>
      <c r="H1061" t="s">
        <v>5</v>
      </c>
      <c r="I1061" t="s">
        <v>48</v>
      </c>
    </row>
    <row r="1062" spans="1:9">
      <c r="C1062" t="s">
        <v>7</v>
      </c>
      <c r="H1062" s="86"/>
      <c r="I1062" s="86" t="s">
        <v>49</v>
      </c>
    </row>
    <row r="1063" spans="1:9">
      <c r="A1063" t="s">
        <v>8</v>
      </c>
      <c r="C1063" s="87" t="s">
        <v>9</v>
      </c>
      <c r="D1063" s="87"/>
      <c r="E1063" s="87"/>
      <c r="F1063" s="87"/>
      <c r="G1063" s="87"/>
      <c r="H1063" t="s">
        <v>10</v>
      </c>
      <c r="I1063" s="114" t="s">
        <v>11</v>
      </c>
    </row>
    <row r="1064" spans="1:9">
      <c r="A1064" t="s">
        <v>12</v>
      </c>
      <c r="C1064" t="s">
        <v>13</v>
      </c>
      <c r="H1064" t="s">
        <v>14</v>
      </c>
      <c r="I1064" t="s">
        <v>11</v>
      </c>
    </row>
    <row r="1065" spans="1:9">
      <c r="A1065" s="88" t="s">
        <v>15</v>
      </c>
      <c r="B1065" s="89"/>
      <c r="C1065" s="74" t="s">
        <v>16</v>
      </c>
      <c r="D1065" s="74" t="s">
        <v>81</v>
      </c>
      <c r="E1065" s="74" t="s">
        <v>82</v>
      </c>
      <c r="F1065" s="74" t="s">
        <v>83</v>
      </c>
      <c r="G1065" s="74" t="s">
        <v>84</v>
      </c>
      <c r="H1065" s="95" t="s">
        <v>85</v>
      </c>
      <c r="I1065" s="95" t="s">
        <v>18</v>
      </c>
    </row>
    <row r="1066" spans="1:9">
      <c r="A1066" s="90">
        <v>5</v>
      </c>
      <c r="B1066" s="91"/>
      <c r="C1066" s="89" t="s">
        <v>114</v>
      </c>
      <c r="D1066" s="112">
        <v>200</v>
      </c>
      <c r="E1066" s="112">
        <v>100</v>
      </c>
      <c r="F1066" s="112">
        <v>15</v>
      </c>
      <c r="G1066" s="96">
        <v>1570</v>
      </c>
      <c r="H1066" s="96">
        <f>G1066*F1066*E1066*D1066/1000</f>
        <v>471000</v>
      </c>
      <c r="I1066" s="96">
        <f t="shared" ref="I1066:I1073" si="59">IF(H1066="-","-",A1066*H1066)</f>
        <v>2355000</v>
      </c>
    </row>
    <row r="1067" spans="1:9">
      <c r="A1067" s="90"/>
      <c r="B1067" s="91"/>
      <c r="C1067" s="89"/>
      <c r="D1067" s="112"/>
      <c r="E1067" s="112"/>
      <c r="F1067" s="112"/>
      <c r="G1067" s="96"/>
      <c r="H1067" s="96">
        <f>G1067*F1067*E1067*D1067/1000</f>
        <v>0</v>
      </c>
      <c r="I1067" s="96">
        <f t="shared" si="59"/>
        <v>0</v>
      </c>
    </row>
    <row r="1068" spans="1:9">
      <c r="A1068" s="90"/>
      <c r="B1068" s="91"/>
      <c r="C1068" s="89"/>
      <c r="D1068" s="112"/>
      <c r="E1068" s="112"/>
      <c r="F1068" s="112"/>
      <c r="G1068" s="96"/>
      <c r="H1068" s="96">
        <f>G1068*F1068*E1068*D1068/1000</f>
        <v>0</v>
      </c>
      <c r="I1068" s="96">
        <f t="shared" si="59"/>
        <v>0</v>
      </c>
    </row>
    <row r="1069" spans="1:9">
      <c r="A1069" s="90"/>
      <c r="B1069" s="91"/>
      <c r="C1069" s="89"/>
      <c r="D1069" s="112"/>
      <c r="E1069" s="112"/>
      <c r="F1069" s="112"/>
      <c r="G1069" s="96"/>
      <c r="H1069" s="96">
        <f>G1069*F1069*E1069*D1069/1000</f>
        <v>0</v>
      </c>
      <c r="I1069" s="96">
        <f t="shared" si="59"/>
        <v>0</v>
      </c>
    </row>
    <row r="1070" spans="1:9">
      <c r="A1070" s="90"/>
      <c r="B1070" s="91"/>
      <c r="C1070" s="89"/>
      <c r="D1070" s="112"/>
      <c r="E1070" s="112"/>
      <c r="F1070" s="112"/>
      <c r="G1070" s="96"/>
      <c r="H1070" s="96">
        <f>G1070*F1070*E1070*D1070/1000</f>
        <v>0</v>
      </c>
      <c r="I1070" s="96">
        <f t="shared" si="59"/>
        <v>0</v>
      </c>
    </row>
    <row r="1071" spans="1:9">
      <c r="A1071" s="90"/>
      <c r="B1071" s="91"/>
      <c r="C1071" s="89"/>
      <c r="D1071" s="112"/>
      <c r="E1071" s="112"/>
      <c r="F1071" s="112"/>
      <c r="G1071" s="96"/>
      <c r="H1071" s="96"/>
      <c r="I1071" s="96">
        <f t="shared" si="59"/>
        <v>0</v>
      </c>
    </row>
    <row r="1072" spans="1:9">
      <c r="A1072" s="90"/>
      <c r="B1072" s="91"/>
      <c r="C1072" s="89"/>
      <c r="D1072" s="112"/>
      <c r="E1072" s="112"/>
      <c r="F1072" s="112"/>
      <c r="G1072" s="96"/>
      <c r="H1072" s="96"/>
      <c r="I1072" s="96">
        <f t="shared" si="59"/>
        <v>0</v>
      </c>
    </row>
    <row r="1073" spans="1:9">
      <c r="A1073" s="90"/>
      <c r="B1073" s="91"/>
      <c r="C1073" s="89"/>
      <c r="D1073" s="112"/>
      <c r="E1073" s="112"/>
      <c r="F1073" s="112"/>
      <c r="G1073" s="96"/>
      <c r="H1073" s="96"/>
      <c r="I1073" s="96">
        <f t="shared" si="59"/>
        <v>0</v>
      </c>
    </row>
    <row r="1074" spans="1:9">
      <c r="A1074" s="90"/>
      <c r="B1074" s="91"/>
      <c r="C1074" s="89"/>
      <c r="D1074" s="112"/>
      <c r="E1074" s="112"/>
      <c r="F1074" s="112"/>
      <c r="G1074" s="96"/>
      <c r="H1074" s="96"/>
      <c r="I1074" s="96"/>
    </row>
    <row r="1075" spans="1:9">
      <c r="A1075" s="90"/>
      <c r="B1075" s="91"/>
      <c r="C1075" s="89"/>
      <c r="D1075" s="112"/>
      <c r="E1075" s="112"/>
      <c r="F1075" s="112"/>
      <c r="G1075" s="96"/>
      <c r="H1075" s="96"/>
      <c r="I1075" s="96"/>
    </row>
    <row r="1076" spans="1:9">
      <c r="A1076" s="90">
        <f>SUM(A1066:A1075)</f>
        <v>5</v>
      </c>
      <c r="B1076" s="91"/>
      <c r="C1076" s="74" t="str">
        <f>IF(B1076&lt;1,"-",VLOOKUP(B1076,HARGA01,2))</f>
        <v>-</v>
      </c>
      <c r="D1076" s="74"/>
      <c r="E1076" s="74"/>
      <c r="F1076" s="74"/>
      <c r="G1076" s="74"/>
      <c r="H1076" s="96" t="str">
        <f>IF(B1076&lt;1,"-",VLOOKUP(B1076,HARGA01,3))</f>
        <v>-</v>
      </c>
      <c r="I1076" s="96" t="str">
        <f>IF(H1076="-","-",A1076*H1076)</f>
        <v>-</v>
      </c>
    </row>
    <row r="1077" spans="1:9">
      <c r="A1077" s="634" t="s">
        <v>23</v>
      </c>
      <c r="B1077" s="635"/>
      <c r="C1077" s="634"/>
      <c r="D1077" s="634"/>
      <c r="E1077" s="634"/>
      <c r="F1077" s="634"/>
      <c r="G1077" s="634"/>
      <c r="H1077" s="636"/>
      <c r="I1077" s="96">
        <f>SUM(I1066:I1076)</f>
        <v>2355000</v>
      </c>
    </row>
    <row r="1078" spans="1:9">
      <c r="A1078" s="28" t="s">
        <v>24</v>
      </c>
      <c r="B1078" s="28"/>
      <c r="H1078" s="637" t="s">
        <v>25</v>
      </c>
      <c r="I1078" s="637"/>
    </row>
    <row r="1081" spans="1:9">
      <c r="H1081" s="94" t="s">
        <v>27</v>
      </c>
      <c r="I1081" s="25"/>
    </row>
    <row r="1082" spans="1:9" ht="27">
      <c r="A1082" s="2" t="s">
        <v>0</v>
      </c>
      <c r="B1082" s="2"/>
    </row>
    <row r="1083" spans="1:9">
      <c r="A1083" t="s">
        <v>1</v>
      </c>
      <c r="C1083" t="s">
        <v>2</v>
      </c>
      <c r="H1083" t="s">
        <v>3</v>
      </c>
      <c r="I1083" s="73">
        <v>44256</v>
      </c>
    </row>
    <row r="1084" spans="1:9">
      <c r="C1084" t="s">
        <v>4</v>
      </c>
      <c r="H1084" t="s">
        <v>5</v>
      </c>
      <c r="I1084" t="s">
        <v>48</v>
      </c>
    </row>
    <row r="1085" spans="1:9">
      <c r="C1085" t="s">
        <v>7</v>
      </c>
      <c r="H1085" s="86"/>
      <c r="I1085" s="86" t="s">
        <v>49</v>
      </c>
    </row>
    <row r="1086" spans="1:9">
      <c r="A1086" t="s">
        <v>8</v>
      </c>
      <c r="C1086" s="87" t="s">
        <v>9</v>
      </c>
      <c r="D1086" s="87"/>
      <c r="E1086" s="87"/>
      <c r="F1086" s="87"/>
      <c r="G1086" s="87"/>
      <c r="H1086" t="s">
        <v>10</v>
      </c>
      <c r="I1086" s="114" t="s">
        <v>11</v>
      </c>
    </row>
    <row r="1087" spans="1:9">
      <c r="A1087" t="s">
        <v>12</v>
      </c>
      <c r="C1087" t="s">
        <v>13</v>
      </c>
      <c r="H1087" t="s">
        <v>14</v>
      </c>
      <c r="I1087" t="s">
        <v>11</v>
      </c>
    </row>
    <row r="1088" spans="1:9">
      <c r="A1088" s="88" t="s">
        <v>15</v>
      </c>
      <c r="B1088" s="89"/>
      <c r="C1088" s="74" t="s">
        <v>16</v>
      </c>
      <c r="D1088" s="74" t="s">
        <v>81</v>
      </c>
      <c r="E1088" s="74" t="s">
        <v>82</v>
      </c>
      <c r="F1088" s="74" t="s">
        <v>83</v>
      </c>
      <c r="G1088" s="74" t="s">
        <v>84</v>
      </c>
      <c r="H1088" s="95" t="s">
        <v>85</v>
      </c>
      <c r="I1088" s="95" t="s">
        <v>18</v>
      </c>
    </row>
    <row r="1089" spans="1:9">
      <c r="A1089" s="90">
        <v>15</v>
      </c>
      <c r="B1089" s="91"/>
      <c r="C1089" s="89" t="s">
        <v>114</v>
      </c>
      <c r="D1089" s="112">
        <v>200</v>
      </c>
      <c r="E1089" s="112">
        <v>140</v>
      </c>
      <c r="F1089" s="112">
        <v>20</v>
      </c>
      <c r="G1089" s="96">
        <v>1570</v>
      </c>
      <c r="H1089" s="96">
        <f>G1089*F1089*E1089*D1089/1000</f>
        <v>879200</v>
      </c>
      <c r="I1089" s="96">
        <f t="shared" ref="I1089:I1096" si="60">IF(H1089="-","-",A1089*H1089)</f>
        <v>13188000</v>
      </c>
    </row>
    <row r="1090" spans="1:9">
      <c r="A1090" s="90">
        <v>10</v>
      </c>
      <c r="B1090" s="91"/>
      <c r="C1090" s="89" t="s">
        <v>114</v>
      </c>
      <c r="D1090" s="112">
        <v>200</v>
      </c>
      <c r="E1090" s="112">
        <v>120</v>
      </c>
      <c r="F1090" s="112">
        <v>20</v>
      </c>
      <c r="G1090" s="96">
        <v>1570</v>
      </c>
      <c r="H1090" s="96">
        <f>G1090*F1090*E1090*D1090/1000</f>
        <v>753600</v>
      </c>
      <c r="I1090" s="96">
        <f t="shared" si="60"/>
        <v>7536000</v>
      </c>
    </row>
    <row r="1091" spans="1:9">
      <c r="A1091" s="90">
        <v>8</v>
      </c>
      <c r="B1091" s="91"/>
      <c r="C1091" s="89" t="s">
        <v>114</v>
      </c>
      <c r="D1091" s="112">
        <v>200</v>
      </c>
      <c r="E1091" s="112">
        <v>150</v>
      </c>
      <c r="F1091" s="112">
        <v>20</v>
      </c>
      <c r="G1091" s="96">
        <v>1570</v>
      </c>
      <c r="H1091" s="96">
        <f>G1091*F1091*E1091*D1091/1000</f>
        <v>942000</v>
      </c>
      <c r="I1091" s="96">
        <f t="shared" si="60"/>
        <v>7536000</v>
      </c>
    </row>
    <row r="1092" spans="1:9">
      <c r="A1092" s="90">
        <v>8</v>
      </c>
      <c r="B1092" s="91"/>
      <c r="C1092" s="89" t="s">
        <v>114</v>
      </c>
      <c r="D1092" s="112">
        <v>200</v>
      </c>
      <c r="E1092" s="112">
        <v>160</v>
      </c>
      <c r="F1092" s="112">
        <v>20</v>
      </c>
      <c r="G1092" s="96">
        <v>1570</v>
      </c>
      <c r="H1092" s="96">
        <f>G1092*F1092*E1092*D1092/1000</f>
        <v>1004800</v>
      </c>
      <c r="I1092" s="96">
        <f t="shared" si="60"/>
        <v>8038400</v>
      </c>
    </row>
    <row r="1093" spans="1:9">
      <c r="A1093" s="90"/>
      <c r="B1093" s="91"/>
      <c r="C1093" s="89"/>
      <c r="D1093" s="112"/>
      <c r="E1093" s="112"/>
      <c r="F1093" s="112"/>
      <c r="G1093" s="96"/>
      <c r="H1093" s="96">
        <f>G1093*F1093*E1093*D1093/1000</f>
        <v>0</v>
      </c>
      <c r="I1093" s="96">
        <f t="shared" si="60"/>
        <v>0</v>
      </c>
    </row>
    <row r="1094" spans="1:9">
      <c r="A1094" s="90"/>
      <c r="B1094" s="91"/>
      <c r="C1094" s="89"/>
      <c r="D1094" s="112"/>
      <c r="E1094" s="112"/>
      <c r="F1094" s="112"/>
      <c r="G1094" s="96"/>
      <c r="H1094" s="96"/>
      <c r="I1094" s="96">
        <f t="shared" si="60"/>
        <v>0</v>
      </c>
    </row>
    <row r="1095" spans="1:9">
      <c r="A1095" s="90"/>
      <c r="B1095" s="91"/>
      <c r="C1095" s="89"/>
      <c r="D1095" s="112"/>
      <c r="E1095" s="112"/>
      <c r="F1095" s="112"/>
      <c r="G1095" s="96"/>
      <c r="H1095" s="96"/>
      <c r="I1095" s="96">
        <f t="shared" si="60"/>
        <v>0</v>
      </c>
    </row>
    <row r="1096" spans="1:9">
      <c r="A1096" s="90"/>
      <c r="B1096" s="91"/>
      <c r="C1096" s="89"/>
      <c r="D1096" s="112"/>
      <c r="E1096" s="112"/>
      <c r="F1096" s="112"/>
      <c r="G1096" s="96"/>
      <c r="H1096" s="96"/>
      <c r="I1096" s="96">
        <f t="shared" si="60"/>
        <v>0</v>
      </c>
    </row>
    <row r="1097" spans="1:9">
      <c r="A1097" s="90"/>
      <c r="B1097" s="91"/>
      <c r="C1097" s="89"/>
      <c r="D1097" s="112"/>
      <c r="E1097" s="112"/>
      <c r="F1097" s="112"/>
      <c r="G1097" s="96"/>
      <c r="H1097" s="96"/>
      <c r="I1097" s="96"/>
    </row>
    <row r="1098" spans="1:9">
      <c r="A1098" s="90"/>
      <c r="B1098" s="91"/>
      <c r="C1098" s="89"/>
      <c r="D1098" s="112"/>
      <c r="E1098" s="112"/>
      <c r="F1098" s="112"/>
      <c r="G1098" s="96"/>
      <c r="H1098" s="96"/>
      <c r="I1098" s="96"/>
    </row>
    <row r="1099" spans="1:9">
      <c r="A1099" s="90">
        <f>SUM(A1089:A1098)</f>
        <v>41</v>
      </c>
      <c r="B1099" s="91"/>
      <c r="C1099" s="74" t="str">
        <f>IF(B1099&lt;1,"-",VLOOKUP(B1099,HARGA01,2))</f>
        <v>-</v>
      </c>
      <c r="D1099" s="74"/>
      <c r="E1099" s="74"/>
      <c r="F1099" s="74"/>
      <c r="G1099" s="74"/>
      <c r="H1099" s="96" t="str">
        <f>IF(B1099&lt;1,"-",VLOOKUP(B1099,HARGA01,3))</f>
        <v>-</v>
      </c>
      <c r="I1099" s="96" t="str">
        <f>IF(H1099="-","-",A1099*H1099)</f>
        <v>-</v>
      </c>
    </row>
    <row r="1100" spans="1:9">
      <c r="A1100" s="634" t="s">
        <v>23</v>
      </c>
      <c r="B1100" s="635"/>
      <c r="C1100" s="634"/>
      <c r="D1100" s="634"/>
      <c r="E1100" s="634"/>
      <c r="F1100" s="634"/>
      <c r="G1100" s="634"/>
      <c r="H1100" s="636"/>
      <c r="I1100" s="96">
        <f>SUM(I1089:I1099)</f>
        <v>36298400</v>
      </c>
    </row>
    <row r="1101" spans="1:9">
      <c r="A1101" s="28" t="s">
        <v>24</v>
      </c>
      <c r="B1101" s="28"/>
      <c r="H1101" s="637" t="s">
        <v>25</v>
      </c>
      <c r="I1101" s="637"/>
    </row>
    <row r="1104" spans="1:9">
      <c r="H1104" s="94" t="s">
        <v>27</v>
      </c>
      <c r="I1104" s="25"/>
    </row>
    <row r="1105" spans="1:9" ht="27">
      <c r="A1105" s="2" t="s">
        <v>0</v>
      </c>
      <c r="B1105" s="2"/>
    </row>
    <row r="1106" spans="1:9">
      <c r="A1106" t="s">
        <v>1</v>
      </c>
      <c r="C1106" t="s">
        <v>2</v>
      </c>
      <c r="H1106" t="s">
        <v>3</v>
      </c>
      <c r="I1106" s="73">
        <v>44257</v>
      </c>
    </row>
    <row r="1107" spans="1:9">
      <c r="C1107" t="s">
        <v>4</v>
      </c>
      <c r="H1107" t="s">
        <v>5</v>
      </c>
      <c r="I1107" t="s">
        <v>48</v>
      </c>
    </row>
    <row r="1108" spans="1:9">
      <c r="C1108" t="s">
        <v>7</v>
      </c>
      <c r="H1108" s="86"/>
      <c r="I1108" s="86" t="s">
        <v>49</v>
      </c>
    </row>
    <row r="1109" spans="1:9">
      <c r="A1109" t="s">
        <v>8</v>
      </c>
      <c r="C1109" s="87" t="s">
        <v>9</v>
      </c>
      <c r="D1109" s="87"/>
      <c r="E1109" s="87"/>
      <c r="F1109" s="87"/>
      <c r="G1109" s="87"/>
      <c r="H1109" t="s">
        <v>10</v>
      </c>
      <c r="I1109" s="114" t="s">
        <v>11</v>
      </c>
    </row>
    <row r="1110" spans="1:9">
      <c r="A1110" t="s">
        <v>12</v>
      </c>
      <c r="C1110" t="s">
        <v>13</v>
      </c>
      <c r="H1110" t="s">
        <v>14</v>
      </c>
      <c r="I1110" t="s">
        <v>11</v>
      </c>
    </row>
    <row r="1111" spans="1:9">
      <c r="A1111" s="88" t="s">
        <v>15</v>
      </c>
      <c r="B1111" s="89"/>
      <c r="C1111" s="74" t="s">
        <v>16</v>
      </c>
      <c r="D1111" s="74" t="s">
        <v>81</v>
      </c>
      <c r="E1111" s="74" t="s">
        <v>82</v>
      </c>
      <c r="F1111" s="74" t="s">
        <v>83</v>
      </c>
      <c r="G1111" s="74" t="s">
        <v>84</v>
      </c>
      <c r="H1111" s="95" t="s">
        <v>85</v>
      </c>
      <c r="I1111" s="95" t="s">
        <v>18</v>
      </c>
    </row>
    <row r="1112" spans="1:9">
      <c r="A1112" s="90">
        <v>2</v>
      </c>
      <c r="B1112" s="91"/>
      <c r="C1112" s="89" t="s">
        <v>114</v>
      </c>
      <c r="D1112" s="112">
        <v>200</v>
      </c>
      <c r="E1112" s="112">
        <v>160</v>
      </c>
      <c r="F1112" s="112">
        <v>20</v>
      </c>
      <c r="G1112" s="96">
        <v>1570</v>
      </c>
      <c r="H1112" s="96">
        <f>G1112*F1112*E1112*D1112/1000</f>
        <v>1004800</v>
      </c>
      <c r="I1112" s="96">
        <f t="shared" ref="I1112:I1119" si="61">IF(H1112="-","-",A1112*H1112)</f>
        <v>2009600</v>
      </c>
    </row>
    <row r="1113" spans="1:9">
      <c r="A1113" s="90">
        <v>1</v>
      </c>
      <c r="B1113" s="91"/>
      <c r="C1113" s="89" t="s">
        <v>114</v>
      </c>
      <c r="D1113" s="112">
        <v>200</v>
      </c>
      <c r="E1113" s="112">
        <v>150</v>
      </c>
      <c r="F1113" s="112">
        <v>20</v>
      </c>
      <c r="G1113" s="96">
        <v>1570</v>
      </c>
      <c r="H1113" s="96">
        <f>G1113*F1113*E1113*D1113/1000</f>
        <v>942000</v>
      </c>
      <c r="I1113" s="96">
        <f t="shared" si="61"/>
        <v>942000</v>
      </c>
    </row>
    <row r="1114" spans="1:9">
      <c r="A1114" s="90">
        <v>8</v>
      </c>
      <c r="B1114" s="91"/>
      <c r="C1114" s="89" t="s">
        <v>114</v>
      </c>
      <c r="D1114" s="112">
        <v>200</v>
      </c>
      <c r="E1114" s="112">
        <v>120</v>
      </c>
      <c r="F1114" s="112">
        <v>15</v>
      </c>
      <c r="G1114" s="96">
        <v>1570</v>
      </c>
      <c r="H1114" s="96">
        <f>G1114*F1114*E1114*D1114/1000</f>
        <v>565200</v>
      </c>
      <c r="I1114" s="96">
        <f t="shared" si="61"/>
        <v>4521600</v>
      </c>
    </row>
    <row r="1115" spans="1:9">
      <c r="A1115" s="90"/>
      <c r="B1115" s="91"/>
      <c r="C1115" s="89"/>
      <c r="D1115" s="112"/>
      <c r="E1115" s="112"/>
      <c r="F1115" s="112"/>
      <c r="G1115" s="96"/>
      <c r="H1115" s="96"/>
      <c r="I1115" s="96">
        <f t="shared" si="61"/>
        <v>0</v>
      </c>
    </row>
    <row r="1116" spans="1:9">
      <c r="A1116" s="90"/>
      <c r="B1116" s="91"/>
      <c r="C1116" s="89"/>
      <c r="D1116" s="112"/>
      <c r="E1116" s="112"/>
      <c r="F1116" s="112"/>
      <c r="G1116" s="96"/>
      <c r="H1116" s="96"/>
      <c r="I1116" s="96">
        <f t="shared" si="61"/>
        <v>0</v>
      </c>
    </row>
    <row r="1117" spans="1:9">
      <c r="A1117" s="90"/>
      <c r="B1117" s="91"/>
      <c r="C1117" s="89"/>
      <c r="D1117" s="112"/>
      <c r="E1117" s="112"/>
      <c r="F1117" s="112"/>
      <c r="G1117" s="96"/>
      <c r="H1117" s="96"/>
      <c r="I1117" s="96">
        <f t="shared" si="61"/>
        <v>0</v>
      </c>
    </row>
    <row r="1118" spans="1:9">
      <c r="A1118" s="90"/>
      <c r="B1118" s="91"/>
      <c r="C1118" s="89"/>
      <c r="D1118" s="112"/>
      <c r="E1118" s="112"/>
      <c r="F1118" s="112"/>
      <c r="G1118" s="96"/>
      <c r="H1118" s="96"/>
      <c r="I1118" s="96">
        <f t="shared" si="61"/>
        <v>0</v>
      </c>
    </row>
    <row r="1119" spans="1:9">
      <c r="A1119" s="90"/>
      <c r="B1119" s="91"/>
      <c r="C1119" s="89"/>
      <c r="D1119" s="112"/>
      <c r="E1119" s="112"/>
      <c r="F1119" s="112"/>
      <c r="G1119" s="96"/>
      <c r="H1119" s="96"/>
      <c r="I1119" s="96">
        <f t="shared" si="61"/>
        <v>0</v>
      </c>
    </row>
    <row r="1120" spans="1:9">
      <c r="A1120" s="90"/>
      <c r="B1120" s="91"/>
      <c r="C1120" s="89"/>
      <c r="D1120" s="112"/>
      <c r="E1120" s="112"/>
      <c r="F1120" s="112"/>
      <c r="G1120" s="96"/>
      <c r="H1120" s="96"/>
      <c r="I1120" s="96"/>
    </row>
    <row r="1121" spans="1:9">
      <c r="A1121" s="90"/>
      <c r="B1121" s="91"/>
      <c r="C1121" s="89"/>
      <c r="D1121" s="112"/>
      <c r="E1121" s="112"/>
      <c r="F1121" s="112"/>
      <c r="G1121" s="96"/>
      <c r="H1121" s="96"/>
      <c r="I1121" s="96"/>
    </row>
    <row r="1122" spans="1:9">
      <c r="A1122" s="90">
        <f>SUM(A1112:A1121)</f>
        <v>11</v>
      </c>
      <c r="B1122" s="91"/>
      <c r="C1122" s="74" t="str">
        <f>IF(B1122&lt;1,"-",VLOOKUP(B1122,HARGA01,2))</f>
        <v>-</v>
      </c>
      <c r="D1122" s="74"/>
      <c r="E1122" s="74"/>
      <c r="F1122" s="74"/>
      <c r="G1122" s="74"/>
      <c r="H1122" s="96" t="str">
        <f>IF(B1122&lt;1,"-",VLOOKUP(B1122,HARGA01,3))</f>
        <v>-</v>
      </c>
      <c r="I1122" s="96" t="str">
        <f>IF(H1122="-","-",A1122*H1122)</f>
        <v>-</v>
      </c>
    </row>
    <row r="1123" spans="1:9">
      <c r="A1123" s="634" t="s">
        <v>23</v>
      </c>
      <c r="B1123" s="635"/>
      <c r="C1123" s="634"/>
      <c r="D1123" s="634"/>
      <c r="E1123" s="634"/>
      <c r="F1123" s="634"/>
      <c r="G1123" s="634"/>
      <c r="H1123" s="636"/>
      <c r="I1123" s="96">
        <f>SUM(I1112:I1122)</f>
        <v>7473200</v>
      </c>
    </row>
    <row r="1124" spans="1:9">
      <c r="A1124" s="28" t="s">
        <v>24</v>
      </c>
      <c r="B1124" s="28"/>
      <c r="H1124" s="637" t="s">
        <v>25</v>
      </c>
      <c r="I1124" s="637"/>
    </row>
    <row r="1127" spans="1:9">
      <c r="H1127" s="94" t="s">
        <v>27</v>
      </c>
      <c r="I1127" s="25"/>
    </row>
    <row r="1128" spans="1:9" ht="27">
      <c r="A1128" s="2" t="s">
        <v>0</v>
      </c>
      <c r="B1128" s="2"/>
    </row>
    <row r="1129" spans="1:9">
      <c r="A1129" t="s">
        <v>1</v>
      </c>
      <c r="C1129" t="s">
        <v>2</v>
      </c>
      <c r="H1129" t="s">
        <v>3</v>
      </c>
      <c r="I1129" s="73">
        <v>44268</v>
      </c>
    </row>
    <row r="1130" spans="1:9">
      <c r="C1130" t="s">
        <v>4</v>
      </c>
      <c r="H1130" t="s">
        <v>5</v>
      </c>
      <c r="I1130" t="s">
        <v>48</v>
      </c>
    </row>
    <row r="1131" spans="1:9">
      <c r="C1131" t="s">
        <v>7</v>
      </c>
      <c r="H1131" s="86"/>
      <c r="I1131" s="86" t="s">
        <v>49</v>
      </c>
    </row>
    <row r="1132" spans="1:9">
      <c r="A1132" t="s">
        <v>8</v>
      </c>
      <c r="C1132" s="87" t="s">
        <v>9</v>
      </c>
      <c r="D1132" s="87"/>
      <c r="E1132" s="87"/>
      <c r="F1132" s="87"/>
      <c r="G1132" s="87"/>
      <c r="H1132" t="s">
        <v>10</v>
      </c>
      <c r="I1132" s="114" t="s">
        <v>11</v>
      </c>
    </row>
    <row r="1133" spans="1:9">
      <c r="A1133" t="s">
        <v>12</v>
      </c>
      <c r="C1133" t="s">
        <v>13</v>
      </c>
      <c r="H1133" t="s">
        <v>14</v>
      </c>
      <c r="I1133" t="s">
        <v>11</v>
      </c>
    </row>
    <row r="1134" spans="1:9">
      <c r="A1134" s="88" t="s">
        <v>15</v>
      </c>
      <c r="B1134" s="89"/>
      <c r="C1134" s="74" t="s">
        <v>16</v>
      </c>
      <c r="D1134" s="74" t="s">
        <v>81</v>
      </c>
      <c r="E1134" s="74" t="s">
        <v>82</v>
      </c>
      <c r="F1134" s="74" t="s">
        <v>83</v>
      </c>
      <c r="G1134" s="74" t="s">
        <v>84</v>
      </c>
      <c r="H1134" s="95" t="s">
        <v>85</v>
      </c>
      <c r="I1134" s="95" t="s">
        <v>18</v>
      </c>
    </row>
    <row r="1135" spans="1:9">
      <c r="A1135" s="90">
        <v>5</v>
      </c>
      <c r="B1135" s="91"/>
      <c r="C1135" s="89" t="s">
        <v>114</v>
      </c>
      <c r="D1135" s="112">
        <v>200</v>
      </c>
      <c r="E1135" s="112">
        <v>150</v>
      </c>
      <c r="F1135" s="112">
        <v>20</v>
      </c>
      <c r="G1135" s="96">
        <v>1570</v>
      </c>
      <c r="H1135" s="96">
        <f>G1135*F1135*E1135*D1135/1000</f>
        <v>942000</v>
      </c>
      <c r="I1135" s="96">
        <f t="shared" ref="I1135:I1142" si="62">IF(H1135="-","-",A1135*H1135)</f>
        <v>4710000</v>
      </c>
    </row>
    <row r="1136" spans="1:9">
      <c r="A1136" s="90">
        <v>5</v>
      </c>
      <c r="B1136" s="91"/>
      <c r="C1136" s="89" t="s">
        <v>114</v>
      </c>
      <c r="D1136" s="112">
        <v>200</v>
      </c>
      <c r="E1136" s="112">
        <v>140</v>
      </c>
      <c r="F1136" s="112">
        <v>15</v>
      </c>
      <c r="G1136" s="96">
        <v>1570</v>
      </c>
      <c r="H1136" s="96">
        <f>G1136*F1136*E1136*D1136/1000</f>
        <v>659400</v>
      </c>
      <c r="I1136" s="96">
        <f t="shared" si="62"/>
        <v>3297000</v>
      </c>
    </row>
    <row r="1137" spans="1:9">
      <c r="A1137" s="90">
        <v>3</v>
      </c>
      <c r="B1137" s="91"/>
      <c r="C1137" s="89" t="s">
        <v>119</v>
      </c>
      <c r="D1137" s="112">
        <v>200</v>
      </c>
      <c r="E1137" s="112">
        <v>120</v>
      </c>
      <c r="F1137" s="112">
        <v>20</v>
      </c>
      <c r="G1137" s="96">
        <f>1115500/1000</f>
        <v>1115.5</v>
      </c>
      <c r="H1137" s="96">
        <f>G1137*F1137*E1137*D1137/1000</f>
        <v>535440</v>
      </c>
      <c r="I1137" s="96">
        <f t="shared" si="62"/>
        <v>1606320</v>
      </c>
    </row>
    <row r="1138" spans="1:9">
      <c r="A1138" s="90">
        <v>3</v>
      </c>
      <c r="B1138" s="91"/>
      <c r="C1138" s="89" t="s">
        <v>119</v>
      </c>
      <c r="D1138" s="112">
        <v>200</v>
      </c>
      <c r="E1138" s="112">
        <v>140</v>
      </c>
      <c r="F1138" s="112">
        <v>20</v>
      </c>
      <c r="G1138" s="96">
        <f>1115500/1000</f>
        <v>1115.5</v>
      </c>
      <c r="H1138" s="96">
        <f>G1138*F1138*E1138*D1138/1000</f>
        <v>624680</v>
      </c>
      <c r="I1138" s="96">
        <f t="shared" si="62"/>
        <v>1874040</v>
      </c>
    </row>
    <row r="1139" spans="1:9">
      <c r="A1139" s="90">
        <v>100</v>
      </c>
      <c r="B1139" s="91"/>
      <c r="C1139" s="89" t="s">
        <v>120</v>
      </c>
      <c r="D1139" s="112"/>
      <c r="E1139" s="112"/>
      <c r="F1139" s="112"/>
      <c r="G1139" s="96"/>
      <c r="H1139" s="96">
        <v>32000</v>
      </c>
      <c r="I1139" s="96">
        <f t="shared" si="62"/>
        <v>3200000</v>
      </c>
    </row>
    <row r="1140" spans="1:9">
      <c r="A1140" s="90"/>
      <c r="B1140" s="91"/>
      <c r="C1140" s="89"/>
      <c r="D1140" s="112"/>
      <c r="E1140" s="112"/>
      <c r="F1140" s="112"/>
      <c r="G1140" s="96"/>
      <c r="H1140" s="96"/>
      <c r="I1140" s="96">
        <f t="shared" si="62"/>
        <v>0</v>
      </c>
    </row>
    <row r="1141" spans="1:9">
      <c r="A1141" s="90"/>
      <c r="B1141" s="91"/>
      <c r="C1141" s="89"/>
      <c r="D1141" s="112"/>
      <c r="E1141" s="112"/>
      <c r="F1141" s="112"/>
      <c r="G1141" s="96"/>
      <c r="H1141" s="96"/>
      <c r="I1141" s="96">
        <f t="shared" si="62"/>
        <v>0</v>
      </c>
    </row>
    <row r="1142" spans="1:9">
      <c r="A1142" s="90"/>
      <c r="B1142" s="91"/>
      <c r="C1142" s="89"/>
      <c r="D1142" s="112"/>
      <c r="E1142" s="112"/>
      <c r="F1142" s="112"/>
      <c r="G1142" s="96"/>
      <c r="H1142" s="96"/>
      <c r="I1142" s="96">
        <f t="shared" si="62"/>
        <v>0</v>
      </c>
    </row>
    <row r="1143" spans="1:9">
      <c r="A1143" s="90"/>
      <c r="B1143" s="91"/>
      <c r="C1143" s="89"/>
      <c r="D1143" s="112"/>
      <c r="E1143" s="112"/>
      <c r="F1143" s="112"/>
      <c r="G1143" s="96"/>
      <c r="H1143" s="96"/>
      <c r="I1143" s="96"/>
    </row>
    <row r="1144" spans="1:9">
      <c r="A1144" s="90"/>
      <c r="B1144" s="91"/>
      <c r="C1144" s="89"/>
      <c r="D1144" s="112"/>
      <c r="E1144" s="112"/>
      <c r="F1144" s="112"/>
      <c r="G1144" s="96"/>
      <c r="H1144" s="96"/>
      <c r="I1144" s="96"/>
    </row>
    <row r="1145" spans="1:9">
      <c r="A1145" s="90">
        <f>SUM(A1135:A1144)</f>
        <v>116</v>
      </c>
      <c r="B1145" s="91"/>
      <c r="C1145" s="74" t="str">
        <f>IF(B1145&lt;1,"-",VLOOKUP(B1145,HARGA01,2))</f>
        <v>-</v>
      </c>
      <c r="D1145" s="74"/>
      <c r="E1145" s="74"/>
      <c r="F1145" s="74"/>
      <c r="G1145" s="74"/>
      <c r="H1145" s="96" t="str">
        <f>IF(B1145&lt;1,"-",VLOOKUP(B1145,HARGA01,3))</f>
        <v>-</v>
      </c>
      <c r="I1145" s="96" t="str">
        <f>IF(H1145="-","-",A1145*H1145)</f>
        <v>-</v>
      </c>
    </row>
    <row r="1146" spans="1:9">
      <c r="A1146" s="634" t="s">
        <v>23</v>
      </c>
      <c r="B1146" s="635"/>
      <c r="C1146" s="634"/>
      <c r="D1146" s="634"/>
      <c r="E1146" s="634"/>
      <c r="F1146" s="634"/>
      <c r="G1146" s="634"/>
      <c r="H1146" s="636"/>
      <c r="I1146" s="96">
        <f>SUM(I1135:I1145)</f>
        <v>14687360</v>
      </c>
    </row>
    <row r="1147" spans="1:9">
      <c r="A1147" s="28" t="s">
        <v>24</v>
      </c>
      <c r="B1147" s="28"/>
      <c r="H1147" s="637" t="s">
        <v>25</v>
      </c>
      <c r="I1147" s="637"/>
    </row>
    <row r="1150" spans="1:9">
      <c r="H1150" s="94" t="s">
        <v>27</v>
      </c>
      <c r="I1150" s="25"/>
    </row>
    <row r="1151" spans="1:9" ht="27">
      <c r="A1151" s="2" t="s">
        <v>0</v>
      </c>
      <c r="B1151" s="2"/>
    </row>
    <row r="1152" spans="1:9">
      <c r="A1152" t="s">
        <v>1</v>
      </c>
      <c r="C1152" t="s">
        <v>2</v>
      </c>
      <c r="H1152" t="s">
        <v>3</v>
      </c>
      <c r="I1152" s="73">
        <v>44270</v>
      </c>
    </row>
    <row r="1153" spans="1:9">
      <c r="C1153" t="s">
        <v>4</v>
      </c>
      <c r="H1153" t="s">
        <v>5</v>
      </c>
      <c r="I1153" t="s">
        <v>48</v>
      </c>
    </row>
    <row r="1154" spans="1:9">
      <c r="C1154" t="s">
        <v>7</v>
      </c>
      <c r="H1154" s="86"/>
      <c r="I1154" s="86" t="s">
        <v>49</v>
      </c>
    </row>
    <row r="1155" spans="1:9">
      <c r="A1155" t="s">
        <v>8</v>
      </c>
      <c r="C1155" s="87" t="s">
        <v>9</v>
      </c>
      <c r="D1155" s="87"/>
      <c r="E1155" s="87"/>
      <c r="F1155" s="87"/>
      <c r="G1155" s="87"/>
      <c r="H1155" t="s">
        <v>10</v>
      </c>
      <c r="I1155" s="114" t="s">
        <v>11</v>
      </c>
    </row>
    <row r="1156" spans="1:9">
      <c r="A1156" t="s">
        <v>12</v>
      </c>
      <c r="C1156" t="s">
        <v>13</v>
      </c>
      <c r="H1156" t="s">
        <v>14</v>
      </c>
      <c r="I1156" t="s">
        <v>11</v>
      </c>
    </row>
    <row r="1157" spans="1:9">
      <c r="A1157" s="88" t="s">
        <v>15</v>
      </c>
      <c r="B1157" s="89"/>
      <c r="C1157" s="74" t="s">
        <v>16</v>
      </c>
      <c r="D1157" s="74" t="s">
        <v>81</v>
      </c>
      <c r="E1157" s="74" t="s">
        <v>82</v>
      </c>
      <c r="F1157" s="74" t="s">
        <v>83</v>
      </c>
      <c r="G1157" s="74" t="s">
        <v>84</v>
      </c>
      <c r="H1157" s="95" t="s">
        <v>85</v>
      </c>
      <c r="I1157" s="95" t="s">
        <v>18</v>
      </c>
    </row>
    <row r="1158" spans="1:9">
      <c r="A1158" s="90">
        <v>7</v>
      </c>
      <c r="B1158" s="91"/>
      <c r="C1158" s="89" t="s">
        <v>114</v>
      </c>
      <c r="D1158" s="112">
        <v>200</v>
      </c>
      <c r="E1158" s="112">
        <v>140</v>
      </c>
      <c r="F1158" s="112">
        <v>20</v>
      </c>
      <c r="G1158" s="96">
        <v>1570</v>
      </c>
      <c r="H1158" s="96">
        <f>G1158*F1158*E1158*D1158/1000</f>
        <v>879200</v>
      </c>
      <c r="I1158" s="96">
        <f t="shared" ref="I1158:I1165" si="63">IF(H1158="-","-",A1158*H1158)</f>
        <v>6154400</v>
      </c>
    </row>
    <row r="1159" spans="1:9">
      <c r="A1159" s="90">
        <v>3</v>
      </c>
      <c r="B1159" s="91"/>
      <c r="C1159" s="89" t="s">
        <v>121</v>
      </c>
      <c r="D1159" s="112">
        <v>200</v>
      </c>
      <c r="E1159" s="112">
        <v>160</v>
      </c>
      <c r="F1159" s="112">
        <v>20</v>
      </c>
      <c r="G1159" s="96">
        <f>1115500/1000</f>
        <v>1115.5</v>
      </c>
      <c r="H1159" s="96">
        <f>G1159*F1159*E1159*D1159/1000</f>
        <v>713920</v>
      </c>
      <c r="I1159" s="96">
        <f t="shared" si="63"/>
        <v>2141760</v>
      </c>
    </row>
    <row r="1160" spans="1:9">
      <c r="A1160" s="90"/>
      <c r="B1160" s="91"/>
      <c r="C1160" s="89"/>
      <c r="D1160" s="112"/>
      <c r="E1160" s="112"/>
      <c r="F1160" s="112"/>
      <c r="G1160" s="96"/>
      <c r="H1160" s="96"/>
      <c r="I1160" s="96">
        <f t="shared" si="63"/>
        <v>0</v>
      </c>
    </row>
    <row r="1161" spans="1:9">
      <c r="A1161" s="90"/>
      <c r="B1161" s="91"/>
      <c r="C1161" s="89"/>
      <c r="D1161" s="112"/>
      <c r="E1161" s="112"/>
      <c r="F1161" s="112"/>
      <c r="G1161" s="96"/>
      <c r="H1161" s="96"/>
      <c r="I1161" s="96">
        <f t="shared" si="63"/>
        <v>0</v>
      </c>
    </row>
    <row r="1162" spans="1:9">
      <c r="A1162" s="90"/>
      <c r="B1162" s="91"/>
      <c r="C1162" s="89"/>
      <c r="D1162" s="112"/>
      <c r="E1162" s="112"/>
      <c r="F1162" s="112"/>
      <c r="G1162" s="96"/>
      <c r="H1162" s="96"/>
      <c r="I1162" s="96">
        <f t="shared" si="63"/>
        <v>0</v>
      </c>
    </row>
    <row r="1163" spans="1:9">
      <c r="A1163" s="90"/>
      <c r="B1163" s="91"/>
      <c r="C1163" s="89"/>
      <c r="D1163" s="112"/>
      <c r="E1163" s="112"/>
      <c r="F1163" s="112"/>
      <c r="G1163" s="96"/>
      <c r="H1163" s="96"/>
      <c r="I1163" s="96">
        <f t="shared" si="63"/>
        <v>0</v>
      </c>
    </row>
    <row r="1164" spans="1:9">
      <c r="A1164" s="90"/>
      <c r="B1164" s="91"/>
      <c r="C1164" s="89"/>
      <c r="D1164" s="112"/>
      <c r="E1164" s="112"/>
      <c r="F1164" s="112"/>
      <c r="G1164" s="96"/>
      <c r="H1164" s="96"/>
      <c r="I1164" s="96">
        <f t="shared" si="63"/>
        <v>0</v>
      </c>
    </row>
    <row r="1165" spans="1:9">
      <c r="A1165" s="90"/>
      <c r="B1165" s="91"/>
      <c r="C1165" s="89"/>
      <c r="D1165" s="112"/>
      <c r="E1165" s="112"/>
      <c r="F1165" s="112"/>
      <c r="G1165" s="96"/>
      <c r="H1165" s="96"/>
      <c r="I1165" s="96">
        <f t="shared" si="63"/>
        <v>0</v>
      </c>
    </row>
    <row r="1166" spans="1:9">
      <c r="A1166" s="90"/>
      <c r="B1166" s="91"/>
      <c r="C1166" s="89"/>
      <c r="D1166" s="112"/>
      <c r="E1166" s="112"/>
      <c r="F1166" s="112"/>
      <c r="G1166" s="96"/>
      <c r="H1166" s="96"/>
      <c r="I1166" s="96"/>
    </row>
    <row r="1167" spans="1:9">
      <c r="A1167" s="90"/>
      <c r="B1167" s="91"/>
      <c r="C1167" s="89"/>
      <c r="D1167" s="112"/>
      <c r="E1167" s="112"/>
      <c r="F1167" s="112"/>
      <c r="G1167" s="96"/>
      <c r="H1167" s="96"/>
      <c r="I1167" s="96"/>
    </row>
    <row r="1168" spans="1:9">
      <c r="A1168" s="90">
        <f>SUM(A1158:A1167)</f>
        <v>10</v>
      </c>
      <c r="B1168" s="91"/>
      <c r="C1168" s="74" t="str">
        <f>IF(B1168&lt;1,"-",VLOOKUP(B1168,HARGA01,2))</f>
        <v>-</v>
      </c>
      <c r="D1168" s="74"/>
      <c r="E1168" s="74"/>
      <c r="F1168" s="74"/>
      <c r="G1168" s="74"/>
      <c r="H1168" s="96" t="str">
        <f>IF(B1168&lt;1,"-",VLOOKUP(B1168,HARGA01,3))</f>
        <v>-</v>
      </c>
      <c r="I1168" s="96" t="str">
        <f>IF(H1168="-","-",A1168*H1168)</f>
        <v>-</v>
      </c>
    </row>
    <row r="1169" spans="1:9">
      <c r="A1169" s="634" t="s">
        <v>23</v>
      </c>
      <c r="B1169" s="635"/>
      <c r="C1169" s="634"/>
      <c r="D1169" s="634"/>
      <c r="E1169" s="634"/>
      <c r="F1169" s="634"/>
      <c r="G1169" s="634"/>
      <c r="H1169" s="636"/>
      <c r="I1169" s="96">
        <f>SUM(I1158:I1168)</f>
        <v>8296160</v>
      </c>
    </row>
    <row r="1170" spans="1:9">
      <c r="A1170" s="28" t="s">
        <v>24</v>
      </c>
      <c r="B1170" s="28"/>
      <c r="H1170" s="637" t="s">
        <v>25</v>
      </c>
      <c r="I1170" s="637"/>
    </row>
    <row r="1173" spans="1:9">
      <c r="H1173" s="94" t="s">
        <v>27</v>
      </c>
      <c r="I1173" s="25"/>
    </row>
    <row r="1174" spans="1:9" ht="27">
      <c r="A1174" s="2" t="s">
        <v>0</v>
      </c>
      <c r="B1174" s="2"/>
    </row>
    <row r="1175" spans="1:9">
      <c r="A1175" t="s">
        <v>1</v>
      </c>
      <c r="C1175" t="s">
        <v>2</v>
      </c>
      <c r="H1175" t="s">
        <v>3</v>
      </c>
      <c r="I1175" s="73">
        <v>44271</v>
      </c>
    </row>
    <row r="1176" spans="1:9">
      <c r="C1176" t="s">
        <v>4</v>
      </c>
      <c r="H1176" t="s">
        <v>5</v>
      </c>
      <c r="I1176" t="s">
        <v>48</v>
      </c>
    </row>
    <row r="1177" spans="1:9">
      <c r="C1177" t="s">
        <v>7</v>
      </c>
      <c r="H1177" s="86"/>
      <c r="I1177" s="86" t="s">
        <v>49</v>
      </c>
    </row>
    <row r="1178" spans="1:9">
      <c r="A1178" t="s">
        <v>8</v>
      </c>
      <c r="C1178" s="87" t="s">
        <v>9</v>
      </c>
      <c r="D1178" s="87"/>
      <c r="E1178" s="87"/>
      <c r="F1178" s="87"/>
      <c r="G1178" s="87"/>
      <c r="H1178" t="s">
        <v>10</v>
      </c>
      <c r="I1178" s="114" t="s">
        <v>11</v>
      </c>
    </row>
    <row r="1179" spans="1:9">
      <c r="A1179" t="s">
        <v>12</v>
      </c>
      <c r="C1179" t="s">
        <v>13</v>
      </c>
      <c r="H1179" t="s">
        <v>14</v>
      </c>
      <c r="I1179" t="s">
        <v>11</v>
      </c>
    </row>
    <row r="1180" spans="1:9">
      <c r="A1180" s="88" t="s">
        <v>15</v>
      </c>
      <c r="B1180" s="89"/>
      <c r="C1180" s="74" t="s">
        <v>16</v>
      </c>
      <c r="D1180" s="74" t="s">
        <v>81</v>
      </c>
      <c r="E1180" s="74" t="s">
        <v>82</v>
      </c>
      <c r="F1180" s="74" t="s">
        <v>83</v>
      </c>
      <c r="G1180" s="74" t="s">
        <v>84</v>
      </c>
      <c r="H1180" s="95" t="s">
        <v>85</v>
      </c>
      <c r="I1180" s="95" t="s">
        <v>18</v>
      </c>
    </row>
    <row r="1181" spans="1:9">
      <c r="A1181" s="90">
        <v>5</v>
      </c>
      <c r="B1181" s="91"/>
      <c r="C1181" s="89" t="s">
        <v>114</v>
      </c>
      <c r="D1181" s="112">
        <v>200</v>
      </c>
      <c r="E1181" s="112">
        <v>140</v>
      </c>
      <c r="F1181" s="112">
        <v>15</v>
      </c>
      <c r="G1181" s="96">
        <v>1570</v>
      </c>
      <c r="H1181" s="96">
        <f>G1181*F1181*E1181*D1181/1000</f>
        <v>659400</v>
      </c>
      <c r="I1181" s="96">
        <f t="shared" ref="I1181:I1188" si="64">IF(H1181="-","-",A1181*H1181)</f>
        <v>3297000</v>
      </c>
    </row>
    <row r="1182" spans="1:9">
      <c r="A1182" s="90">
        <v>5</v>
      </c>
      <c r="B1182" s="91"/>
      <c r="C1182" s="89" t="s">
        <v>114</v>
      </c>
      <c r="D1182" s="112">
        <v>200</v>
      </c>
      <c r="E1182" s="112">
        <v>100</v>
      </c>
      <c r="F1182" s="112">
        <v>20</v>
      </c>
      <c r="G1182" s="96">
        <v>1570</v>
      </c>
      <c r="H1182" s="96">
        <f>G1182*F1182*E1182*D1182/1000</f>
        <v>628000</v>
      </c>
      <c r="I1182" s="96">
        <f t="shared" si="64"/>
        <v>3140000</v>
      </c>
    </row>
    <row r="1183" spans="1:9">
      <c r="A1183" s="90"/>
      <c r="B1183" s="91"/>
      <c r="C1183" s="89"/>
      <c r="D1183" s="112"/>
      <c r="E1183" s="112"/>
      <c r="F1183" s="112"/>
      <c r="G1183" s="96"/>
      <c r="H1183" s="96"/>
      <c r="I1183" s="96">
        <f t="shared" si="64"/>
        <v>0</v>
      </c>
    </row>
    <row r="1184" spans="1:9">
      <c r="A1184" s="90"/>
      <c r="B1184" s="91"/>
      <c r="C1184" s="89"/>
      <c r="D1184" s="112"/>
      <c r="E1184" s="112"/>
      <c r="F1184" s="112"/>
      <c r="G1184" s="96"/>
      <c r="H1184" s="96"/>
      <c r="I1184" s="96">
        <f t="shared" si="64"/>
        <v>0</v>
      </c>
    </row>
    <row r="1185" spans="1:9">
      <c r="A1185" s="90"/>
      <c r="B1185" s="91"/>
      <c r="C1185" s="89"/>
      <c r="D1185" s="112"/>
      <c r="E1185" s="112"/>
      <c r="F1185" s="112"/>
      <c r="G1185" s="96"/>
      <c r="H1185" s="96"/>
      <c r="I1185" s="96">
        <f t="shared" si="64"/>
        <v>0</v>
      </c>
    </row>
    <row r="1186" spans="1:9">
      <c r="A1186" s="90"/>
      <c r="B1186" s="91"/>
      <c r="C1186" s="89"/>
      <c r="D1186" s="112"/>
      <c r="E1186" s="112"/>
      <c r="F1186" s="112"/>
      <c r="G1186" s="96"/>
      <c r="H1186" s="96"/>
      <c r="I1186" s="96">
        <f t="shared" si="64"/>
        <v>0</v>
      </c>
    </row>
    <row r="1187" spans="1:9">
      <c r="A1187" s="90"/>
      <c r="B1187" s="91"/>
      <c r="C1187" s="89"/>
      <c r="D1187" s="112"/>
      <c r="E1187" s="112"/>
      <c r="F1187" s="112"/>
      <c r="G1187" s="96"/>
      <c r="H1187" s="96"/>
      <c r="I1187" s="96">
        <f t="shared" si="64"/>
        <v>0</v>
      </c>
    </row>
    <row r="1188" spans="1:9">
      <c r="A1188" s="90"/>
      <c r="B1188" s="91"/>
      <c r="C1188" s="89"/>
      <c r="D1188" s="112"/>
      <c r="E1188" s="112"/>
      <c r="F1188" s="112"/>
      <c r="G1188" s="96"/>
      <c r="H1188" s="96"/>
      <c r="I1188" s="96">
        <f t="shared" si="64"/>
        <v>0</v>
      </c>
    </row>
    <row r="1189" spans="1:9">
      <c r="A1189" s="90"/>
      <c r="B1189" s="91"/>
      <c r="C1189" s="89"/>
      <c r="D1189" s="112"/>
      <c r="E1189" s="112"/>
      <c r="F1189" s="112"/>
      <c r="G1189" s="96"/>
      <c r="H1189" s="96"/>
      <c r="I1189" s="96"/>
    </row>
    <row r="1190" spans="1:9">
      <c r="A1190" s="90"/>
      <c r="B1190" s="91"/>
      <c r="C1190" s="89"/>
      <c r="D1190" s="112"/>
      <c r="E1190" s="112"/>
      <c r="F1190" s="112"/>
      <c r="G1190" s="96"/>
      <c r="H1190" s="96"/>
      <c r="I1190" s="96"/>
    </row>
    <row r="1191" spans="1:9">
      <c r="A1191" s="90">
        <f>SUM(A1181:A1190)</f>
        <v>10</v>
      </c>
      <c r="B1191" s="91"/>
      <c r="C1191" s="74" t="str">
        <f>IF(B1191&lt;1,"-",VLOOKUP(B1191,HARGA01,2))</f>
        <v>-</v>
      </c>
      <c r="D1191" s="74"/>
      <c r="E1191" s="74"/>
      <c r="F1191" s="74"/>
      <c r="G1191" s="74"/>
      <c r="H1191" s="96" t="str">
        <f>IF(B1191&lt;1,"-",VLOOKUP(B1191,HARGA01,3))</f>
        <v>-</v>
      </c>
      <c r="I1191" s="96" t="str">
        <f>IF(H1191="-","-",A1191*H1191)</f>
        <v>-</v>
      </c>
    </row>
    <row r="1192" spans="1:9">
      <c r="A1192" s="634" t="s">
        <v>23</v>
      </c>
      <c r="B1192" s="635"/>
      <c r="C1192" s="634"/>
      <c r="D1192" s="634"/>
      <c r="E1192" s="634"/>
      <c r="F1192" s="634"/>
      <c r="G1192" s="634"/>
      <c r="H1192" s="636"/>
      <c r="I1192" s="96">
        <f>SUM(I1181:I1191)</f>
        <v>6437000</v>
      </c>
    </row>
    <row r="1193" spans="1:9">
      <c r="A1193" s="28" t="s">
        <v>24</v>
      </c>
      <c r="B1193" s="28"/>
      <c r="H1193" s="637" t="s">
        <v>25</v>
      </c>
      <c r="I1193" s="637"/>
    </row>
    <row r="1196" spans="1:9">
      <c r="H1196" s="94" t="s">
        <v>27</v>
      </c>
      <c r="I1196" s="25"/>
    </row>
    <row r="1197" spans="1:9" ht="27">
      <c r="A1197" s="2" t="s">
        <v>0</v>
      </c>
      <c r="B1197" s="2"/>
    </row>
    <row r="1198" spans="1:9">
      <c r="A1198" t="s">
        <v>1</v>
      </c>
      <c r="C1198" t="s">
        <v>2</v>
      </c>
      <c r="H1198" t="s">
        <v>3</v>
      </c>
      <c r="I1198" s="73">
        <v>44277</v>
      </c>
    </row>
    <row r="1199" spans="1:9">
      <c r="C1199" t="s">
        <v>4</v>
      </c>
      <c r="H1199" t="s">
        <v>5</v>
      </c>
      <c r="I1199" t="s">
        <v>48</v>
      </c>
    </row>
    <row r="1200" spans="1:9">
      <c r="C1200" t="s">
        <v>7</v>
      </c>
      <c r="H1200" s="86"/>
      <c r="I1200" s="86" t="s">
        <v>49</v>
      </c>
    </row>
    <row r="1201" spans="1:9">
      <c r="A1201" t="s">
        <v>8</v>
      </c>
      <c r="C1201" s="87" t="s">
        <v>9</v>
      </c>
      <c r="D1201" s="87"/>
      <c r="E1201" s="87"/>
      <c r="F1201" s="87"/>
      <c r="G1201" s="87"/>
      <c r="H1201" t="s">
        <v>10</v>
      </c>
      <c r="I1201" s="114" t="s">
        <v>11</v>
      </c>
    </row>
    <row r="1202" spans="1:9">
      <c r="A1202" t="s">
        <v>12</v>
      </c>
      <c r="C1202" t="s">
        <v>13</v>
      </c>
      <c r="H1202" t="s">
        <v>14</v>
      </c>
      <c r="I1202" t="s">
        <v>11</v>
      </c>
    </row>
    <row r="1203" spans="1:9">
      <c r="A1203" s="88" t="s">
        <v>15</v>
      </c>
      <c r="B1203" s="89"/>
      <c r="C1203" s="74" t="s">
        <v>16</v>
      </c>
      <c r="D1203" s="74" t="s">
        <v>81</v>
      </c>
      <c r="E1203" s="74" t="s">
        <v>82</v>
      </c>
      <c r="F1203" s="74" t="s">
        <v>83</v>
      </c>
      <c r="G1203" s="74" t="s">
        <v>84</v>
      </c>
      <c r="H1203" s="95" t="s">
        <v>85</v>
      </c>
      <c r="I1203" s="95" t="s">
        <v>18</v>
      </c>
    </row>
    <row r="1204" spans="1:9">
      <c r="A1204" s="90">
        <v>10</v>
      </c>
      <c r="B1204" s="91"/>
      <c r="C1204" s="89" t="s">
        <v>114</v>
      </c>
      <c r="D1204" s="112">
        <v>200</v>
      </c>
      <c r="E1204" s="112">
        <v>120</v>
      </c>
      <c r="F1204" s="112">
        <v>20</v>
      </c>
      <c r="G1204" s="96">
        <v>1570</v>
      </c>
      <c r="H1204" s="96">
        <f>G1204*F1204*E1204*D1204/1000</f>
        <v>753600</v>
      </c>
      <c r="I1204" s="96">
        <f t="shared" ref="I1204:I1211" si="65">IF(H1204="-","-",A1204*H1204)</f>
        <v>7536000</v>
      </c>
    </row>
    <row r="1205" spans="1:9">
      <c r="A1205" s="90">
        <v>10</v>
      </c>
      <c r="B1205" s="91"/>
      <c r="C1205" s="89" t="s">
        <v>114</v>
      </c>
      <c r="D1205" s="112">
        <v>200</v>
      </c>
      <c r="E1205" s="112">
        <v>140</v>
      </c>
      <c r="F1205" s="112">
        <v>20</v>
      </c>
      <c r="G1205" s="96">
        <v>1570</v>
      </c>
      <c r="H1205" s="96">
        <f>G1205*F1205*E1205*D1205/1000</f>
        <v>879200</v>
      </c>
      <c r="I1205" s="96">
        <f t="shared" si="65"/>
        <v>8792000</v>
      </c>
    </row>
    <row r="1206" spans="1:9">
      <c r="A1206" s="90">
        <v>8</v>
      </c>
      <c r="B1206" s="91"/>
      <c r="C1206" s="89" t="s">
        <v>114</v>
      </c>
      <c r="D1206" s="112">
        <v>200</v>
      </c>
      <c r="E1206" s="112">
        <v>180</v>
      </c>
      <c r="F1206" s="112">
        <v>20</v>
      </c>
      <c r="G1206" s="96">
        <v>1570</v>
      </c>
      <c r="H1206" s="96">
        <f>G1206*F1206*E1206*D1206/1000</f>
        <v>1130400</v>
      </c>
      <c r="I1206" s="96">
        <f t="shared" si="65"/>
        <v>9043200</v>
      </c>
    </row>
    <row r="1207" spans="1:9">
      <c r="A1207" s="90">
        <v>5</v>
      </c>
      <c r="B1207" s="91"/>
      <c r="C1207" s="89" t="s">
        <v>122</v>
      </c>
      <c r="D1207" s="112"/>
      <c r="E1207" s="112"/>
      <c r="F1207" s="112"/>
      <c r="G1207" s="96"/>
      <c r="H1207" s="96">
        <v>200000</v>
      </c>
      <c r="I1207" s="96">
        <f t="shared" si="65"/>
        <v>1000000</v>
      </c>
    </row>
    <row r="1208" spans="1:9">
      <c r="A1208" s="90">
        <v>10</v>
      </c>
      <c r="B1208" s="91"/>
      <c r="C1208" s="89" t="s">
        <v>123</v>
      </c>
      <c r="D1208" s="112"/>
      <c r="E1208" s="112"/>
      <c r="F1208" s="112"/>
      <c r="G1208" s="96"/>
      <c r="H1208" s="96">
        <v>245000</v>
      </c>
      <c r="I1208" s="96">
        <f t="shared" si="65"/>
        <v>2450000</v>
      </c>
    </row>
    <row r="1209" spans="1:9">
      <c r="A1209" s="90">
        <v>5</v>
      </c>
      <c r="B1209" s="91"/>
      <c r="C1209" s="89" t="s">
        <v>124</v>
      </c>
      <c r="D1209" s="112"/>
      <c r="E1209" s="112"/>
      <c r="F1209" s="112"/>
      <c r="G1209" s="96"/>
      <c r="H1209" s="96">
        <v>260000</v>
      </c>
      <c r="I1209" s="96">
        <f t="shared" si="65"/>
        <v>1300000</v>
      </c>
    </row>
    <row r="1210" spans="1:9">
      <c r="A1210" s="90">
        <v>10</v>
      </c>
      <c r="B1210" s="91"/>
      <c r="C1210" s="89" t="s">
        <v>101</v>
      </c>
      <c r="D1210" s="112"/>
      <c r="E1210" s="112"/>
      <c r="F1210" s="112"/>
      <c r="G1210" s="96"/>
      <c r="H1210" s="96">
        <v>155000</v>
      </c>
      <c r="I1210" s="96">
        <f t="shared" si="65"/>
        <v>1550000</v>
      </c>
    </row>
    <row r="1211" spans="1:9">
      <c r="A1211" s="90"/>
      <c r="B1211" s="91"/>
      <c r="C1211" s="89"/>
      <c r="D1211" s="112"/>
      <c r="E1211" s="112"/>
      <c r="F1211" s="112"/>
      <c r="G1211" s="96"/>
      <c r="H1211" s="96"/>
      <c r="I1211" s="96">
        <f t="shared" si="65"/>
        <v>0</v>
      </c>
    </row>
    <row r="1212" spans="1:9">
      <c r="A1212" s="90"/>
      <c r="B1212" s="91"/>
      <c r="C1212" s="89"/>
      <c r="D1212" s="112"/>
      <c r="E1212" s="112"/>
      <c r="F1212" s="112"/>
      <c r="G1212" s="96"/>
      <c r="H1212" s="96"/>
      <c r="I1212" s="96"/>
    </row>
    <row r="1213" spans="1:9">
      <c r="A1213" s="90"/>
      <c r="B1213" s="91"/>
      <c r="C1213" s="89"/>
      <c r="D1213" s="112"/>
      <c r="E1213" s="112"/>
      <c r="F1213" s="112"/>
      <c r="G1213" s="96"/>
      <c r="H1213" s="96"/>
      <c r="I1213" s="96"/>
    </row>
    <row r="1214" spans="1:9">
      <c r="A1214" s="90">
        <f>SUM(A1204:A1213)</f>
        <v>58</v>
      </c>
      <c r="B1214" s="91"/>
      <c r="C1214" s="74" t="str">
        <f>IF(B1214&lt;1,"-",VLOOKUP(B1214,HARGA01,2))</f>
        <v>-</v>
      </c>
      <c r="D1214" s="74"/>
      <c r="E1214" s="74"/>
      <c r="F1214" s="74"/>
      <c r="G1214" s="74"/>
      <c r="H1214" s="96" t="str">
        <f>IF(B1214&lt;1,"-",VLOOKUP(B1214,HARGA01,3))</f>
        <v>-</v>
      </c>
      <c r="I1214" s="96" t="str">
        <f>IF(H1214="-","-",A1214*H1214)</f>
        <v>-</v>
      </c>
    </row>
    <row r="1215" spans="1:9">
      <c r="A1215" s="634" t="s">
        <v>23</v>
      </c>
      <c r="B1215" s="635"/>
      <c r="C1215" s="634"/>
      <c r="D1215" s="634"/>
      <c r="E1215" s="634"/>
      <c r="F1215" s="634"/>
      <c r="G1215" s="634"/>
      <c r="H1215" s="636"/>
      <c r="I1215" s="96">
        <f>SUM(I1204:I1214)</f>
        <v>31671200</v>
      </c>
    </row>
    <row r="1216" spans="1:9">
      <c r="A1216" s="28" t="s">
        <v>24</v>
      </c>
      <c r="B1216" s="28"/>
      <c r="H1216" s="637" t="s">
        <v>25</v>
      </c>
      <c r="I1216" s="637"/>
    </row>
    <row r="1219" spans="1:9">
      <c r="H1219" s="94" t="s">
        <v>27</v>
      </c>
      <c r="I1219" s="25"/>
    </row>
    <row r="1221" spans="1:9" ht="27">
      <c r="A1221" s="2" t="s">
        <v>0</v>
      </c>
      <c r="B1221" s="2"/>
    </row>
    <row r="1222" spans="1:9">
      <c r="A1222" t="s">
        <v>1</v>
      </c>
      <c r="C1222" t="s">
        <v>2</v>
      </c>
      <c r="H1222" t="s">
        <v>3</v>
      </c>
      <c r="I1222" s="73">
        <v>44282</v>
      </c>
    </row>
    <row r="1223" spans="1:9">
      <c r="C1223" t="s">
        <v>4</v>
      </c>
      <c r="H1223" t="s">
        <v>5</v>
      </c>
      <c r="I1223" t="s">
        <v>48</v>
      </c>
    </row>
    <row r="1224" spans="1:9">
      <c r="C1224" t="s">
        <v>7</v>
      </c>
      <c r="H1224" s="86"/>
      <c r="I1224" s="86" t="s">
        <v>49</v>
      </c>
    </row>
    <row r="1225" spans="1:9">
      <c r="A1225" t="s">
        <v>8</v>
      </c>
      <c r="C1225" s="87" t="s">
        <v>9</v>
      </c>
      <c r="D1225" s="87"/>
      <c r="E1225" s="87"/>
      <c r="F1225" s="87"/>
      <c r="G1225" s="87"/>
      <c r="H1225" t="s">
        <v>10</v>
      </c>
      <c r="I1225" s="114" t="s">
        <v>11</v>
      </c>
    </row>
    <row r="1226" spans="1:9">
      <c r="A1226" t="s">
        <v>12</v>
      </c>
      <c r="C1226" t="s">
        <v>13</v>
      </c>
      <c r="H1226" t="s">
        <v>14</v>
      </c>
      <c r="I1226" t="s">
        <v>11</v>
      </c>
    </row>
    <row r="1227" spans="1:9">
      <c r="A1227" s="88" t="s">
        <v>15</v>
      </c>
      <c r="B1227" s="89"/>
      <c r="C1227" s="74" t="s">
        <v>16</v>
      </c>
      <c r="D1227" s="74" t="s">
        <v>81</v>
      </c>
      <c r="E1227" s="74" t="s">
        <v>82</v>
      </c>
      <c r="F1227" s="74" t="s">
        <v>83</v>
      </c>
      <c r="G1227" s="74" t="s">
        <v>84</v>
      </c>
      <c r="H1227" s="95" t="s">
        <v>85</v>
      </c>
      <c r="I1227" s="95" t="s">
        <v>18</v>
      </c>
    </row>
    <row r="1228" spans="1:9">
      <c r="A1228" s="90">
        <v>100</v>
      </c>
      <c r="B1228" s="91"/>
      <c r="C1228" s="89" t="s">
        <v>125</v>
      </c>
      <c r="D1228" s="112"/>
      <c r="E1228" s="112"/>
      <c r="F1228" s="112"/>
      <c r="G1228" s="96"/>
      <c r="H1228" s="96">
        <v>32000</v>
      </c>
      <c r="I1228" s="96">
        <f t="shared" ref="I1228:I1235" si="66">IF(H1228="-","-",A1228*H1228)</f>
        <v>3200000</v>
      </c>
    </row>
    <row r="1229" spans="1:9">
      <c r="A1229" s="90">
        <v>200</v>
      </c>
      <c r="B1229" s="91"/>
      <c r="C1229" s="89" t="s">
        <v>126</v>
      </c>
      <c r="D1229" s="112"/>
      <c r="E1229" s="112"/>
      <c r="F1229" s="112"/>
      <c r="G1229" s="96"/>
      <c r="H1229" s="96">
        <v>32000</v>
      </c>
      <c r="I1229" s="96">
        <f t="shared" si="66"/>
        <v>6400000</v>
      </c>
    </row>
    <row r="1230" spans="1:9">
      <c r="A1230" s="90"/>
      <c r="B1230" s="91"/>
      <c r="C1230" s="89"/>
      <c r="D1230" s="112"/>
      <c r="E1230" s="112"/>
      <c r="F1230" s="112"/>
      <c r="G1230" s="96"/>
      <c r="H1230" s="96"/>
      <c r="I1230" s="96">
        <f t="shared" si="66"/>
        <v>0</v>
      </c>
    </row>
    <row r="1231" spans="1:9">
      <c r="A1231" s="90"/>
      <c r="B1231" s="91"/>
      <c r="C1231" s="89"/>
      <c r="D1231" s="112"/>
      <c r="E1231" s="112"/>
      <c r="F1231" s="112"/>
      <c r="G1231" s="96"/>
      <c r="H1231" s="96"/>
      <c r="I1231" s="96">
        <f t="shared" si="66"/>
        <v>0</v>
      </c>
    </row>
    <row r="1232" spans="1:9">
      <c r="A1232" s="90"/>
      <c r="B1232" s="91"/>
      <c r="C1232" s="89"/>
      <c r="D1232" s="112"/>
      <c r="E1232" s="112"/>
      <c r="F1232" s="112"/>
      <c r="G1232" s="96"/>
      <c r="H1232" s="96"/>
      <c r="I1232" s="96">
        <f t="shared" si="66"/>
        <v>0</v>
      </c>
    </row>
    <row r="1233" spans="1:9">
      <c r="A1233" s="90"/>
      <c r="B1233" s="91"/>
      <c r="C1233" s="89"/>
      <c r="D1233" s="112"/>
      <c r="E1233" s="112"/>
      <c r="F1233" s="112"/>
      <c r="G1233" s="96"/>
      <c r="H1233" s="96"/>
      <c r="I1233" s="96">
        <f t="shared" si="66"/>
        <v>0</v>
      </c>
    </row>
    <row r="1234" spans="1:9">
      <c r="A1234" s="90"/>
      <c r="B1234" s="91"/>
      <c r="C1234" s="89"/>
      <c r="D1234" s="112"/>
      <c r="E1234" s="112"/>
      <c r="F1234" s="112"/>
      <c r="G1234" s="96"/>
      <c r="H1234" s="96"/>
      <c r="I1234" s="96">
        <f t="shared" si="66"/>
        <v>0</v>
      </c>
    </row>
    <row r="1235" spans="1:9">
      <c r="A1235" s="90"/>
      <c r="B1235" s="91"/>
      <c r="C1235" s="89"/>
      <c r="D1235" s="112"/>
      <c r="E1235" s="112"/>
      <c r="F1235" s="112"/>
      <c r="G1235" s="96"/>
      <c r="H1235" s="96"/>
      <c r="I1235" s="96">
        <f t="shared" si="66"/>
        <v>0</v>
      </c>
    </row>
    <row r="1236" spans="1:9">
      <c r="A1236" s="90"/>
      <c r="B1236" s="91"/>
      <c r="C1236" s="89"/>
      <c r="D1236" s="112"/>
      <c r="E1236" s="112"/>
      <c r="F1236" s="112"/>
      <c r="G1236" s="96"/>
      <c r="H1236" s="96"/>
      <c r="I1236" s="96"/>
    </row>
    <row r="1237" spans="1:9">
      <c r="A1237" s="90"/>
      <c r="B1237" s="91"/>
      <c r="C1237" s="89"/>
      <c r="D1237" s="112"/>
      <c r="E1237" s="112"/>
      <c r="F1237" s="112"/>
      <c r="G1237" s="96"/>
      <c r="H1237" s="96"/>
      <c r="I1237" s="96"/>
    </row>
    <row r="1238" spans="1:9">
      <c r="A1238" s="90">
        <f>SUM(A1228:A1237)</f>
        <v>300</v>
      </c>
      <c r="B1238" s="91"/>
      <c r="C1238" s="74" t="str">
        <f>IF(B1238&lt;1,"-",VLOOKUP(B1238,HARGA01,2))</f>
        <v>-</v>
      </c>
      <c r="D1238" s="74"/>
      <c r="E1238" s="74"/>
      <c r="F1238" s="74"/>
      <c r="G1238" s="74"/>
      <c r="H1238" s="96" t="str">
        <f>IF(B1238&lt;1,"-",VLOOKUP(B1238,HARGA01,3))</f>
        <v>-</v>
      </c>
      <c r="I1238" s="96" t="str">
        <f>IF(H1238="-","-",A1238*H1238)</f>
        <v>-</v>
      </c>
    </row>
    <row r="1239" spans="1:9">
      <c r="A1239" s="634" t="s">
        <v>23</v>
      </c>
      <c r="B1239" s="635"/>
      <c r="C1239" s="634"/>
      <c r="D1239" s="634"/>
      <c r="E1239" s="634"/>
      <c r="F1239" s="634"/>
      <c r="G1239" s="634"/>
      <c r="H1239" s="636"/>
      <c r="I1239" s="96">
        <f>SUM(I1228:I1238)</f>
        <v>9600000</v>
      </c>
    </row>
    <row r="1240" spans="1:9">
      <c r="A1240" s="28" t="s">
        <v>24</v>
      </c>
      <c r="B1240" s="28"/>
      <c r="H1240" s="637" t="s">
        <v>25</v>
      </c>
      <c r="I1240" s="637"/>
    </row>
    <row r="1243" spans="1:9">
      <c r="H1243" s="94" t="s">
        <v>27</v>
      </c>
      <c r="I1243" s="25"/>
    </row>
    <row r="1244" spans="1:9" ht="27">
      <c r="A1244" s="2" t="s">
        <v>0</v>
      </c>
      <c r="B1244" s="2"/>
    </row>
    <row r="1245" spans="1:9">
      <c r="A1245" t="s">
        <v>1</v>
      </c>
      <c r="C1245" t="s">
        <v>2</v>
      </c>
      <c r="H1245" t="s">
        <v>3</v>
      </c>
      <c r="I1245" s="73">
        <v>44291</v>
      </c>
    </row>
    <row r="1246" spans="1:9">
      <c r="C1246" t="s">
        <v>4</v>
      </c>
      <c r="H1246" t="s">
        <v>5</v>
      </c>
      <c r="I1246" t="s">
        <v>48</v>
      </c>
    </row>
    <row r="1247" spans="1:9">
      <c r="C1247" t="s">
        <v>7</v>
      </c>
      <c r="H1247" s="86"/>
      <c r="I1247" s="86" t="s">
        <v>49</v>
      </c>
    </row>
    <row r="1248" spans="1:9">
      <c r="A1248" t="s">
        <v>8</v>
      </c>
      <c r="C1248" s="87" t="s">
        <v>9</v>
      </c>
      <c r="D1248" s="87"/>
      <c r="E1248" s="87"/>
      <c r="F1248" s="87"/>
      <c r="G1248" s="87"/>
      <c r="H1248" t="s">
        <v>10</v>
      </c>
      <c r="I1248" s="114" t="s">
        <v>11</v>
      </c>
    </row>
    <row r="1249" spans="1:9">
      <c r="A1249" t="s">
        <v>12</v>
      </c>
      <c r="C1249" t="s">
        <v>13</v>
      </c>
      <c r="H1249" t="s">
        <v>14</v>
      </c>
      <c r="I1249" t="s">
        <v>11</v>
      </c>
    </row>
    <row r="1250" spans="1:9">
      <c r="A1250" s="88" t="s">
        <v>15</v>
      </c>
      <c r="B1250" s="89"/>
      <c r="C1250" s="74" t="s">
        <v>16</v>
      </c>
      <c r="D1250" s="74" t="s">
        <v>81</v>
      </c>
      <c r="E1250" s="74" t="s">
        <v>82</v>
      </c>
      <c r="F1250" s="74" t="s">
        <v>83</v>
      </c>
      <c r="G1250" s="74" t="s">
        <v>84</v>
      </c>
      <c r="H1250" s="95" t="s">
        <v>85</v>
      </c>
      <c r="I1250" s="95" t="s">
        <v>18</v>
      </c>
    </row>
    <row r="1251" spans="1:9">
      <c r="A1251" s="90">
        <v>15</v>
      </c>
      <c r="B1251" s="91"/>
      <c r="C1251" s="89" t="s">
        <v>116</v>
      </c>
      <c r="D1251" s="112"/>
      <c r="E1251" s="112"/>
      <c r="F1251" s="112"/>
      <c r="G1251" s="96"/>
      <c r="H1251" s="96">
        <v>245000</v>
      </c>
      <c r="I1251" s="96">
        <f t="shared" ref="I1251:I1258" si="67">IF(H1251="-","-",A1251*H1251)</f>
        <v>3675000</v>
      </c>
    </row>
    <row r="1252" spans="1:9">
      <c r="A1252" s="90"/>
      <c r="B1252" s="91"/>
      <c r="C1252" s="89"/>
      <c r="D1252" s="112"/>
      <c r="E1252" s="112"/>
      <c r="F1252" s="112"/>
      <c r="G1252" s="96"/>
      <c r="H1252" s="96"/>
      <c r="I1252" s="96">
        <f t="shared" si="67"/>
        <v>0</v>
      </c>
    </row>
    <row r="1253" spans="1:9">
      <c r="A1253" s="90"/>
      <c r="B1253" s="91"/>
      <c r="C1253" s="89"/>
      <c r="D1253" s="112"/>
      <c r="E1253" s="112"/>
      <c r="F1253" s="112"/>
      <c r="G1253" s="96"/>
      <c r="H1253" s="96"/>
      <c r="I1253" s="96">
        <f t="shared" si="67"/>
        <v>0</v>
      </c>
    </row>
    <row r="1254" spans="1:9">
      <c r="A1254" s="90"/>
      <c r="B1254" s="91"/>
      <c r="C1254" s="89"/>
      <c r="D1254" s="112"/>
      <c r="E1254" s="112"/>
      <c r="F1254" s="112"/>
      <c r="G1254" s="96"/>
      <c r="H1254" s="96"/>
      <c r="I1254" s="96">
        <f t="shared" si="67"/>
        <v>0</v>
      </c>
    </row>
    <row r="1255" spans="1:9">
      <c r="A1255" s="90"/>
      <c r="B1255" s="91"/>
      <c r="C1255" s="89"/>
      <c r="D1255" s="112"/>
      <c r="E1255" s="112"/>
      <c r="F1255" s="112"/>
      <c r="G1255" s="96"/>
      <c r="H1255" s="96"/>
      <c r="I1255" s="96">
        <f t="shared" si="67"/>
        <v>0</v>
      </c>
    </row>
    <row r="1256" spans="1:9">
      <c r="A1256" s="90"/>
      <c r="B1256" s="91"/>
      <c r="C1256" s="89"/>
      <c r="D1256" s="112"/>
      <c r="E1256" s="112"/>
      <c r="F1256" s="112"/>
      <c r="G1256" s="96"/>
      <c r="H1256" s="96"/>
      <c r="I1256" s="96">
        <f t="shared" si="67"/>
        <v>0</v>
      </c>
    </row>
    <row r="1257" spans="1:9">
      <c r="A1257" s="90"/>
      <c r="B1257" s="91"/>
      <c r="C1257" s="89"/>
      <c r="D1257" s="112"/>
      <c r="E1257" s="112"/>
      <c r="F1257" s="112"/>
      <c r="G1257" s="96"/>
      <c r="H1257" s="96"/>
      <c r="I1257" s="96">
        <f t="shared" si="67"/>
        <v>0</v>
      </c>
    </row>
    <row r="1258" spans="1:9">
      <c r="A1258" s="90"/>
      <c r="B1258" s="91"/>
      <c r="C1258" s="89"/>
      <c r="D1258" s="112"/>
      <c r="E1258" s="112"/>
      <c r="F1258" s="112"/>
      <c r="G1258" s="96"/>
      <c r="H1258" s="96"/>
      <c r="I1258" s="96">
        <f t="shared" si="67"/>
        <v>0</v>
      </c>
    </row>
    <row r="1259" spans="1:9">
      <c r="A1259" s="90"/>
      <c r="B1259" s="91"/>
      <c r="C1259" s="89"/>
      <c r="D1259" s="112"/>
      <c r="E1259" s="112"/>
      <c r="F1259" s="112"/>
      <c r="G1259" s="96"/>
      <c r="H1259" s="96"/>
      <c r="I1259" s="96"/>
    </row>
    <row r="1260" spans="1:9">
      <c r="A1260" s="90"/>
      <c r="B1260" s="91"/>
      <c r="C1260" s="89"/>
      <c r="D1260" s="112"/>
      <c r="E1260" s="112"/>
      <c r="F1260" s="112"/>
      <c r="G1260" s="96"/>
      <c r="H1260" s="96"/>
      <c r="I1260" s="96"/>
    </row>
    <row r="1261" spans="1:9">
      <c r="A1261" s="90">
        <f>SUM(A1251:A1260)</f>
        <v>15</v>
      </c>
      <c r="B1261" s="91"/>
      <c r="C1261" s="74" t="str">
        <f>IF(B1261&lt;1,"-",VLOOKUP(B1261,HARGA01,2))</f>
        <v>-</v>
      </c>
      <c r="D1261" s="74"/>
      <c r="E1261" s="74"/>
      <c r="F1261" s="74"/>
      <c r="G1261" s="74"/>
      <c r="H1261" s="96" t="str">
        <f>IF(B1261&lt;1,"-",VLOOKUP(B1261,HARGA01,3))</f>
        <v>-</v>
      </c>
      <c r="I1261" s="96" t="str">
        <f>IF(H1261="-","-",A1261*H1261)</f>
        <v>-</v>
      </c>
    </row>
    <row r="1262" spans="1:9">
      <c r="A1262" s="634" t="s">
        <v>23</v>
      </c>
      <c r="B1262" s="635"/>
      <c r="C1262" s="634"/>
      <c r="D1262" s="634"/>
      <c r="E1262" s="634"/>
      <c r="F1262" s="634"/>
      <c r="G1262" s="634"/>
      <c r="H1262" s="636"/>
      <c r="I1262" s="96">
        <f>SUM(I1251:I1261)</f>
        <v>3675000</v>
      </c>
    </row>
    <row r="1263" spans="1:9">
      <c r="A1263" s="28" t="s">
        <v>24</v>
      </c>
      <c r="B1263" s="28"/>
      <c r="H1263" s="637" t="s">
        <v>25</v>
      </c>
      <c r="I1263" s="637"/>
    </row>
    <row r="1266" spans="1:9">
      <c r="H1266" s="94" t="s">
        <v>27</v>
      </c>
      <c r="I1266" s="25"/>
    </row>
    <row r="1267" spans="1:9" ht="27">
      <c r="A1267" s="2" t="s">
        <v>0</v>
      </c>
      <c r="B1267" s="2"/>
    </row>
    <row r="1268" spans="1:9">
      <c r="A1268" t="s">
        <v>1</v>
      </c>
      <c r="C1268" t="s">
        <v>2</v>
      </c>
      <c r="H1268" t="s">
        <v>3</v>
      </c>
      <c r="I1268" s="73">
        <v>44307</v>
      </c>
    </row>
    <row r="1269" spans="1:9">
      <c r="C1269" t="s">
        <v>4</v>
      </c>
      <c r="H1269" t="s">
        <v>5</v>
      </c>
      <c r="I1269" t="s">
        <v>48</v>
      </c>
    </row>
    <row r="1270" spans="1:9">
      <c r="C1270" t="s">
        <v>7</v>
      </c>
      <c r="H1270" s="86"/>
      <c r="I1270" s="86" t="s">
        <v>49</v>
      </c>
    </row>
    <row r="1271" spans="1:9">
      <c r="A1271" t="s">
        <v>8</v>
      </c>
      <c r="C1271" s="87" t="s">
        <v>9</v>
      </c>
      <c r="D1271" s="87"/>
      <c r="E1271" s="87"/>
      <c r="F1271" s="87"/>
      <c r="G1271" s="87"/>
      <c r="H1271" t="s">
        <v>10</v>
      </c>
      <c r="I1271" s="114" t="s">
        <v>11</v>
      </c>
    </row>
    <row r="1272" spans="1:9">
      <c r="A1272" t="s">
        <v>12</v>
      </c>
      <c r="C1272" t="s">
        <v>13</v>
      </c>
      <c r="H1272" t="s">
        <v>14</v>
      </c>
      <c r="I1272" t="s">
        <v>11</v>
      </c>
    </row>
    <row r="1273" spans="1:9">
      <c r="A1273" s="88" t="s">
        <v>15</v>
      </c>
      <c r="B1273" s="89"/>
      <c r="C1273" s="74" t="s">
        <v>16</v>
      </c>
      <c r="D1273" s="74" t="s">
        <v>81</v>
      </c>
      <c r="E1273" s="74" t="s">
        <v>82</v>
      </c>
      <c r="F1273" s="74" t="s">
        <v>83</v>
      </c>
      <c r="G1273" s="74" t="s">
        <v>84</v>
      </c>
      <c r="H1273" s="95" t="s">
        <v>85</v>
      </c>
      <c r="I1273" s="95" t="s">
        <v>18</v>
      </c>
    </row>
    <row r="1274" spans="1:9">
      <c r="A1274" s="90">
        <v>18</v>
      </c>
      <c r="B1274" s="91"/>
      <c r="C1274" s="89" t="s">
        <v>127</v>
      </c>
      <c r="D1274" s="112">
        <v>200</v>
      </c>
      <c r="E1274" s="112">
        <v>140</v>
      </c>
      <c r="F1274" s="112">
        <v>20</v>
      </c>
      <c r="G1274" s="96">
        <v>1570</v>
      </c>
      <c r="H1274" s="96">
        <f>G1274*F1274*E1274*D1274/1000</f>
        <v>879200</v>
      </c>
      <c r="I1274" s="96">
        <f t="shared" ref="I1274:I1281" si="68">IF(H1274="-","-",A1274*H1274)</f>
        <v>15825600</v>
      </c>
    </row>
    <row r="1275" spans="1:9">
      <c r="A1275" s="90">
        <v>8</v>
      </c>
      <c r="B1275" s="91"/>
      <c r="C1275" s="89" t="s">
        <v>128</v>
      </c>
      <c r="D1275" s="112"/>
      <c r="E1275" s="112"/>
      <c r="F1275" s="112"/>
      <c r="G1275" s="96"/>
      <c r="H1275" s="96">
        <v>260000</v>
      </c>
      <c r="I1275" s="96">
        <f t="shared" si="68"/>
        <v>2080000</v>
      </c>
    </row>
    <row r="1276" spans="1:9">
      <c r="A1276" s="90"/>
      <c r="B1276" s="91"/>
      <c r="C1276" s="89"/>
      <c r="D1276" s="112"/>
      <c r="E1276" s="112"/>
      <c r="F1276" s="112"/>
      <c r="G1276" s="96"/>
      <c r="H1276" s="96"/>
      <c r="I1276" s="96">
        <f t="shared" si="68"/>
        <v>0</v>
      </c>
    </row>
    <row r="1277" spans="1:9">
      <c r="A1277" s="90"/>
      <c r="B1277" s="91"/>
      <c r="C1277" s="89"/>
      <c r="D1277" s="112"/>
      <c r="E1277" s="112"/>
      <c r="F1277" s="112"/>
      <c r="G1277" s="96"/>
      <c r="H1277" s="96"/>
      <c r="I1277" s="96">
        <f t="shared" si="68"/>
        <v>0</v>
      </c>
    </row>
    <row r="1278" spans="1:9">
      <c r="A1278" s="90"/>
      <c r="B1278" s="91"/>
      <c r="C1278" s="89"/>
      <c r="D1278" s="112"/>
      <c r="E1278" s="112"/>
      <c r="F1278" s="112"/>
      <c r="G1278" s="96"/>
      <c r="H1278" s="96"/>
      <c r="I1278" s="96">
        <f t="shared" si="68"/>
        <v>0</v>
      </c>
    </row>
    <row r="1279" spans="1:9">
      <c r="A1279" s="90"/>
      <c r="B1279" s="91"/>
      <c r="C1279" s="89"/>
      <c r="D1279" s="112"/>
      <c r="E1279" s="112"/>
      <c r="F1279" s="112"/>
      <c r="G1279" s="96"/>
      <c r="H1279" s="96"/>
      <c r="I1279" s="96">
        <f t="shared" si="68"/>
        <v>0</v>
      </c>
    </row>
    <row r="1280" spans="1:9">
      <c r="A1280" s="90"/>
      <c r="B1280" s="91"/>
      <c r="C1280" s="89"/>
      <c r="D1280" s="112"/>
      <c r="E1280" s="112"/>
      <c r="F1280" s="112"/>
      <c r="G1280" s="96"/>
      <c r="H1280" s="96"/>
      <c r="I1280" s="96">
        <f t="shared" si="68"/>
        <v>0</v>
      </c>
    </row>
    <row r="1281" spans="1:9">
      <c r="A1281" s="90"/>
      <c r="B1281" s="91"/>
      <c r="C1281" s="89"/>
      <c r="D1281" s="112"/>
      <c r="E1281" s="112"/>
      <c r="F1281" s="112"/>
      <c r="G1281" s="96"/>
      <c r="H1281" s="96"/>
      <c r="I1281" s="96">
        <f t="shared" si="68"/>
        <v>0</v>
      </c>
    </row>
    <row r="1282" spans="1:9">
      <c r="A1282" s="90"/>
      <c r="B1282" s="91"/>
      <c r="C1282" s="89"/>
      <c r="D1282" s="112"/>
      <c r="E1282" s="112"/>
      <c r="F1282" s="112"/>
      <c r="G1282" s="96"/>
      <c r="H1282" s="96"/>
      <c r="I1282" s="96"/>
    </row>
    <row r="1283" spans="1:9">
      <c r="A1283" s="90"/>
      <c r="B1283" s="91"/>
      <c r="C1283" s="89"/>
      <c r="D1283" s="112"/>
      <c r="E1283" s="112"/>
      <c r="F1283" s="112"/>
      <c r="G1283" s="96"/>
      <c r="H1283" s="96"/>
      <c r="I1283" s="96"/>
    </row>
    <row r="1284" spans="1:9">
      <c r="A1284" s="90">
        <f>SUM(A1274:A1283)</f>
        <v>26</v>
      </c>
      <c r="B1284" s="91"/>
      <c r="C1284" s="74" t="str">
        <f>IF(B1284&lt;1,"-",VLOOKUP(B1284,HARGA01,2))</f>
        <v>-</v>
      </c>
      <c r="D1284" s="74"/>
      <c r="E1284" s="74"/>
      <c r="F1284" s="74"/>
      <c r="G1284" s="74"/>
      <c r="H1284" s="96" t="str">
        <f>IF(B1284&lt;1,"-",VLOOKUP(B1284,HARGA01,3))</f>
        <v>-</v>
      </c>
      <c r="I1284" s="96" t="str">
        <f>IF(H1284="-","-",A1284*H1284)</f>
        <v>-</v>
      </c>
    </row>
    <row r="1285" spans="1:9">
      <c r="A1285" s="634" t="s">
        <v>23</v>
      </c>
      <c r="B1285" s="635"/>
      <c r="C1285" s="634"/>
      <c r="D1285" s="634"/>
      <c r="E1285" s="634"/>
      <c r="F1285" s="634"/>
      <c r="G1285" s="634"/>
      <c r="H1285" s="636"/>
      <c r="I1285" s="96">
        <f>SUM(I1274:I1284)</f>
        <v>17905600</v>
      </c>
    </row>
    <row r="1286" spans="1:9">
      <c r="A1286" s="28" t="s">
        <v>24</v>
      </c>
      <c r="B1286" s="28"/>
      <c r="H1286" s="637" t="s">
        <v>25</v>
      </c>
      <c r="I1286" s="637"/>
    </row>
    <row r="1289" spans="1:9">
      <c r="H1289" s="94" t="s">
        <v>27</v>
      </c>
      <c r="I1289" s="25"/>
    </row>
    <row r="1290" spans="1:9" ht="27">
      <c r="A1290" s="2" t="s">
        <v>0</v>
      </c>
      <c r="B1290" s="2"/>
    </row>
    <row r="1291" spans="1:9">
      <c r="A1291" t="s">
        <v>1</v>
      </c>
      <c r="C1291" t="s">
        <v>2</v>
      </c>
      <c r="H1291" t="s">
        <v>3</v>
      </c>
      <c r="I1291" s="73">
        <v>44307</v>
      </c>
    </row>
    <row r="1292" spans="1:9">
      <c r="C1292" t="s">
        <v>4</v>
      </c>
      <c r="H1292" t="s">
        <v>5</v>
      </c>
      <c r="I1292" t="s">
        <v>48</v>
      </c>
    </row>
    <row r="1293" spans="1:9">
      <c r="C1293" t="s">
        <v>7</v>
      </c>
      <c r="H1293" s="86"/>
      <c r="I1293" s="86" t="s">
        <v>49</v>
      </c>
    </row>
    <row r="1294" spans="1:9">
      <c r="A1294" t="s">
        <v>8</v>
      </c>
      <c r="C1294" s="87" t="s">
        <v>9</v>
      </c>
      <c r="D1294" s="87"/>
      <c r="E1294" s="87"/>
      <c r="F1294" s="87"/>
      <c r="G1294" s="87"/>
      <c r="H1294" t="s">
        <v>10</v>
      </c>
      <c r="I1294" s="114" t="s">
        <v>11</v>
      </c>
    </row>
    <row r="1295" spans="1:9">
      <c r="A1295" t="s">
        <v>12</v>
      </c>
      <c r="C1295" t="s">
        <v>13</v>
      </c>
      <c r="H1295" t="s">
        <v>14</v>
      </c>
      <c r="I1295" t="s">
        <v>11</v>
      </c>
    </row>
    <row r="1296" spans="1:9">
      <c r="A1296" s="88" t="s">
        <v>15</v>
      </c>
      <c r="B1296" s="89"/>
      <c r="C1296" s="74" t="s">
        <v>16</v>
      </c>
      <c r="D1296" s="74" t="s">
        <v>81</v>
      </c>
      <c r="E1296" s="74" t="s">
        <v>82</v>
      </c>
      <c r="F1296" s="74" t="s">
        <v>83</v>
      </c>
      <c r="G1296" s="74" t="s">
        <v>84</v>
      </c>
      <c r="H1296" s="95" t="s">
        <v>85</v>
      </c>
      <c r="I1296" s="95" t="s">
        <v>18</v>
      </c>
    </row>
    <row r="1297" spans="1:9">
      <c r="A1297" s="90">
        <v>18</v>
      </c>
      <c r="B1297" s="91"/>
      <c r="C1297" s="89" t="s">
        <v>127</v>
      </c>
      <c r="D1297" s="112">
        <v>200</v>
      </c>
      <c r="E1297" s="112">
        <v>140</v>
      </c>
      <c r="F1297" s="112">
        <v>20</v>
      </c>
      <c r="G1297" s="96">
        <v>1570</v>
      </c>
      <c r="H1297" s="96">
        <f>G1297*F1297*E1297*D1297/1000</f>
        <v>879200</v>
      </c>
      <c r="I1297" s="96">
        <f t="shared" ref="I1297:I1304" si="69">IF(H1297="-","-",A1297*H1297)</f>
        <v>15825600</v>
      </c>
    </row>
    <row r="1298" spans="1:9">
      <c r="A1298" s="90">
        <v>8</v>
      </c>
      <c r="B1298" s="91"/>
      <c r="C1298" s="89" t="s">
        <v>128</v>
      </c>
      <c r="D1298" s="112"/>
      <c r="E1298" s="112"/>
      <c r="F1298" s="112"/>
      <c r="G1298" s="96"/>
      <c r="H1298" s="96">
        <v>260000</v>
      </c>
      <c r="I1298" s="96">
        <f t="shared" si="69"/>
        <v>2080000</v>
      </c>
    </row>
    <row r="1299" spans="1:9">
      <c r="A1299" s="90"/>
      <c r="B1299" s="91"/>
      <c r="C1299" s="89"/>
      <c r="D1299" s="112"/>
      <c r="E1299" s="112"/>
      <c r="F1299" s="112"/>
      <c r="G1299" s="96"/>
      <c r="H1299" s="96"/>
      <c r="I1299" s="96">
        <f t="shared" si="69"/>
        <v>0</v>
      </c>
    </row>
    <row r="1300" spans="1:9">
      <c r="A1300" s="90"/>
      <c r="B1300" s="91"/>
      <c r="C1300" s="89"/>
      <c r="D1300" s="112"/>
      <c r="E1300" s="112"/>
      <c r="F1300" s="112"/>
      <c r="G1300" s="96"/>
      <c r="H1300" s="96"/>
      <c r="I1300" s="96">
        <f t="shared" si="69"/>
        <v>0</v>
      </c>
    </row>
    <row r="1301" spans="1:9">
      <c r="A1301" s="90"/>
      <c r="B1301" s="91"/>
      <c r="C1301" s="89"/>
      <c r="D1301" s="112"/>
      <c r="E1301" s="112"/>
      <c r="F1301" s="112"/>
      <c r="G1301" s="96"/>
      <c r="H1301" s="96"/>
      <c r="I1301" s="96">
        <f t="shared" si="69"/>
        <v>0</v>
      </c>
    </row>
    <row r="1302" spans="1:9">
      <c r="A1302" s="90"/>
      <c r="B1302" s="91"/>
      <c r="C1302" s="89"/>
      <c r="D1302" s="112"/>
      <c r="E1302" s="112"/>
      <c r="F1302" s="112"/>
      <c r="G1302" s="96"/>
      <c r="H1302" s="96"/>
      <c r="I1302" s="96">
        <f t="shared" si="69"/>
        <v>0</v>
      </c>
    </row>
    <row r="1303" spans="1:9">
      <c r="A1303" s="90"/>
      <c r="B1303" s="91"/>
      <c r="C1303" s="89"/>
      <c r="D1303" s="112"/>
      <c r="E1303" s="112"/>
      <c r="F1303" s="112"/>
      <c r="G1303" s="96"/>
      <c r="H1303" s="96"/>
      <c r="I1303" s="96">
        <f t="shared" si="69"/>
        <v>0</v>
      </c>
    </row>
    <row r="1304" spans="1:9">
      <c r="A1304" s="90"/>
      <c r="B1304" s="91"/>
      <c r="C1304" s="89"/>
      <c r="D1304" s="112"/>
      <c r="E1304" s="112"/>
      <c r="F1304" s="112"/>
      <c r="G1304" s="96"/>
      <c r="H1304" s="96"/>
      <c r="I1304" s="96">
        <f t="shared" si="69"/>
        <v>0</v>
      </c>
    </row>
    <row r="1305" spans="1:9">
      <c r="A1305" s="90"/>
      <c r="B1305" s="91"/>
      <c r="C1305" s="89"/>
      <c r="D1305" s="112"/>
      <c r="E1305" s="112"/>
      <c r="F1305" s="112"/>
      <c r="G1305" s="96"/>
      <c r="H1305" s="96"/>
      <c r="I1305" s="96"/>
    </row>
    <row r="1306" spans="1:9">
      <c r="A1306" s="90"/>
      <c r="B1306" s="91"/>
      <c r="C1306" s="89"/>
      <c r="D1306" s="112"/>
      <c r="E1306" s="112"/>
      <c r="F1306" s="112"/>
      <c r="G1306" s="96"/>
      <c r="H1306" s="96"/>
      <c r="I1306" s="96"/>
    </row>
    <row r="1307" spans="1:9">
      <c r="A1307" s="90">
        <f>SUM(A1297:A1306)</f>
        <v>26</v>
      </c>
      <c r="B1307" s="91"/>
      <c r="C1307" s="74" t="str">
        <f>IF(B1307&lt;1,"-",VLOOKUP(B1307,HARGA01,2))</f>
        <v>-</v>
      </c>
      <c r="D1307" s="74"/>
      <c r="E1307" s="74"/>
      <c r="F1307" s="74"/>
      <c r="G1307" s="74"/>
      <c r="H1307" s="96" t="str">
        <f>IF(B1307&lt;1,"-",VLOOKUP(B1307,HARGA01,3))</f>
        <v>-</v>
      </c>
      <c r="I1307" s="96" t="str">
        <f>IF(H1307="-","-",A1307*H1307)</f>
        <v>-</v>
      </c>
    </row>
    <row r="1308" spans="1:9">
      <c r="A1308" s="634" t="s">
        <v>23</v>
      </c>
      <c r="B1308" s="635"/>
      <c r="C1308" s="634"/>
      <c r="D1308" s="634"/>
      <c r="E1308" s="634"/>
      <c r="F1308" s="634"/>
      <c r="G1308" s="634"/>
      <c r="H1308" s="636"/>
      <c r="I1308" s="96">
        <f>SUM(I1297:I1307)</f>
        <v>17905600</v>
      </c>
    </row>
    <row r="1309" spans="1:9">
      <c r="A1309" s="28" t="s">
        <v>24</v>
      </c>
      <c r="B1309" s="28"/>
      <c r="H1309" s="637" t="s">
        <v>25</v>
      </c>
      <c r="I1309" s="637"/>
    </row>
    <row r="1312" spans="1:9">
      <c r="H1312" s="94" t="s">
        <v>27</v>
      </c>
      <c r="I1312" s="25"/>
    </row>
    <row r="1313" spans="1:9" ht="27">
      <c r="A1313" s="2" t="s">
        <v>0</v>
      </c>
      <c r="B1313" s="2"/>
    </row>
    <row r="1314" spans="1:9">
      <c r="A1314" t="s">
        <v>1</v>
      </c>
      <c r="C1314" t="s">
        <v>2</v>
      </c>
      <c r="H1314" t="s">
        <v>3</v>
      </c>
      <c r="I1314" s="73">
        <v>44302</v>
      </c>
    </row>
    <row r="1315" spans="1:9">
      <c r="C1315" t="s">
        <v>4</v>
      </c>
      <c r="H1315" t="s">
        <v>5</v>
      </c>
      <c r="I1315" t="s">
        <v>48</v>
      </c>
    </row>
    <row r="1316" spans="1:9">
      <c r="C1316" t="s">
        <v>7</v>
      </c>
      <c r="H1316" s="86"/>
      <c r="I1316" s="86" t="s">
        <v>49</v>
      </c>
    </row>
    <row r="1317" spans="1:9">
      <c r="A1317" t="s">
        <v>8</v>
      </c>
      <c r="C1317" s="87" t="s">
        <v>9</v>
      </c>
      <c r="D1317" s="87"/>
      <c r="E1317" s="87"/>
      <c r="F1317" s="87"/>
      <c r="G1317" s="87"/>
      <c r="H1317" t="s">
        <v>10</v>
      </c>
      <c r="I1317" s="114" t="s">
        <v>11</v>
      </c>
    </row>
    <row r="1318" spans="1:9">
      <c r="A1318" t="s">
        <v>12</v>
      </c>
      <c r="C1318" t="s">
        <v>13</v>
      </c>
      <c r="H1318" t="s">
        <v>14</v>
      </c>
      <c r="I1318" t="s">
        <v>11</v>
      </c>
    </row>
    <row r="1319" spans="1:9">
      <c r="A1319" s="88" t="s">
        <v>15</v>
      </c>
      <c r="B1319" s="89"/>
      <c r="C1319" s="74" t="s">
        <v>16</v>
      </c>
      <c r="D1319" s="74" t="s">
        <v>81</v>
      </c>
      <c r="E1319" s="74" t="s">
        <v>82</v>
      </c>
      <c r="F1319" s="74" t="s">
        <v>83</v>
      </c>
      <c r="G1319" s="74" t="s">
        <v>84</v>
      </c>
      <c r="H1319" s="95" t="s">
        <v>85</v>
      </c>
      <c r="I1319" s="95" t="s">
        <v>18</v>
      </c>
    </row>
    <row r="1320" spans="1:9">
      <c r="A1320" s="90">
        <v>2</v>
      </c>
      <c r="B1320" s="91"/>
      <c r="C1320" s="89" t="s">
        <v>127</v>
      </c>
      <c r="D1320" s="112">
        <v>200</v>
      </c>
      <c r="E1320" s="112">
        <v>140</v>
      </c>
      <c r="F1320" s="112">
        <v>20</v>
      </c>
      <c r="G1320" s="96">
        <v>1570</v>
      </c>
      <c r="H1320" s="96">
        <f>G1320*F1320*E1320*D1320/1000</f>
        <v>879200</v>
      </c>
      <c r="I1320" s="96">
        <f t="shared" ref="I1320:I1327" si="70">IF(H1320="-","-",A1320*H1320)</f>
        <v>1758400</v>
      </c>
    </row>
    <row r="1321" spans="1:9">
      <c r="A1321" s="90">
        <v>10</v>
      </c>
      <c r="B1321" s="91"/>
      <c r="C1321" s="89" t="s">
        <v>127</v>
      </c>
      <c r="D1321" s="112">
        <v>200</v>
      </c>
      <c r="E1321" s="112">
        <v>150</v>
      </c>
      <c r="F1321" s="112">
        <v>20</v>
      </c>
      <c r="G1321" s="96">
        <v>1570</v>
      </c>
      <c r="H1321" s="96">
        <f>G1321*F1321*E1321*D1321/1000</f>
        <v>942000</v>
      </c>
      <c r="I1321" s="96">
        <f t="shared" si="70"/>
        <v>9420000</v>
      </c>
    </row>
    <row r="1322" spans="1:9">
      <c r="A1322" s="90">
        <v>10</v>
      </c>
      <c r="B1322" s="91"/>
      <c r="C1322" s="89" t="s">
        <v>127</v>
      </c>
      <c r="D1322" s="112">
        <v>200</v>
      </c>
      <c r="E1322" s="112">
        <v>160</v>
      </c>
      <c r="F1322" s="112">
        <v>20</v>
      </c>
      <c r="G1322" s="96">
        <v>1570</v>
      </c>
      <c r="H1322" s="96">
        <f>G1322*F1322*E1322*D1322/1000</f>
        <v>1004800</v>
      </c>
      <c r="I1322" s="96">
        <f t="shared" si="70"/>
        <v>10048000</v>
      </c>
    </row>
    <row r="1323" spans="1:9">
      <c r="A1323" s="90">
        <v>10</v>
      </c>
      <c r="B1323" s="91"/>
      <c r="C1323" s="89" t="s">
        <v>127</v>
      </c>
      <c r="D1323" s="112">
        <v>200</v>
      </c>
      <c r="E1323" s="112">
        <v>180</v>
      </c>
      <c r="F1323" s="112">
        <v>20</v>
      </c>
      <c r="G1323" s="96">
        <v>1570</v>
      </c>
      <c r="H1323" s="96">
        <f>G1323*F1323*E1323*D1323/1000</f>
        <v>1130400</v>
      </c>
      <c r="I1323" s="96">
        <f t="shared" si="70"/>
        <v>11304000</v>
      </c>
    </row>
    <row r="1324" spans="1:9">
      <c r="A1324" s="90"/>
      <c r="B1324" s="91"/>
      <c r="C1324" s="89"/>
      <c r="D1324" s="112"/>
      <c r="E1324" s="112"/>
      <c r="F1324" s="112"/>
      <c r="G1324" s="96"/>
      <c r="H1324" s="96"/>
      <c r="I1324" s="96">
        <f t="shared" si="70"/>
        <v>0</v>
      </c>
    </row>
    <row r="1325" spans="1:9">
      <c r="A1325" s="90"/>
      <c r="B1325" s="91"/>
      <c r="C1325" s="89"/>
      <c r="D1325" s="112"/>
      <c r="E1325" s="112"/>
      <c r="F1325" s="112"/>
      <c r="G1325" s="96"/>
      <c r="H1325" s="96"/>
      <c r="I1325" s="96">
        <f t="shared" si="70"/>
        <v>0</v>
      </c>
    </row>
    <row r="1326" spans="1:9">
      <c r="A1326" s="90"/>
      <c r="B1326" s="91"/>
      <c r="C1326" s="89"/>
      <c r="D1326" s="112"/>
      <c r="E1326" s="112"/>
      <c r="F1326" s="112"/>
      <c r="G1326" s="96"/>
      <c r="H1326" s="96"/>
      <c r="I1326" s="96">
        <f t="shared" si="70"/>
        <v>0</v>
      </c>
    </row>
    <row r="1327" spans="1:9">
      <c r="A1327" s="90"/>
      <c r="B1327" s="91"/>
      <c r="C1327" s="89"/>
      <c r="D1327" s="112"/>
      <c r="E1327" s="112"/>
      <c r="F1327" s="112"/>
      <c r="G1327" s="96"/>
      <c r="H1327" s="96"/>
      <c r="I1327" s="96">
        <f t="shared" si="70"/>
        <v>0</v>
      </c>
    </row>
    <row r="1328" spans="1:9">
      <c r="A1328" s="90"/>
      <c r="B1328" s="91"/>
      <c r="C1328" s="89"/>
      <c r="D1328" s="112"/>
      <c r="E1328" s="112"/>
      <c r="F1328" s="112"/>
      <c r="G1328" s="96"/>
      <c r="H1328" s="96"/>
      <c r="I1328" s="96"/>
    </row>
    <row r="1329" spans="1:9">
      <c r="A1329" s="90"/>
      <c r="B1329" s="91"/>
      <c r="C1329" s="89"/>
      <c r="D1329" s="112"/>
      <c r="E1329" s="112"/>
      <c r="F1329" s="112"/>
      <c r="G1329" s="96"/>
      <c r="H1329" s="96"/>
      <c r="I1329" s="96"/>
    </row>
    <row r="1330" spans="1:9">
      <c r="A1330" s="90">
        <f>SUM(A1320:A1329)</f>
        <v>32</v>
      </c>
      <c r="B1330" s="91"/>
      <c r="C1330" s="74" t="str">
        <f>IF(B1330&lt;1,"-",VLOOKUP(B1330,HARGA01,2))</f>
        <v>-</v>
      </c>
      <c r="D1330" s="74"/>
      <c r="E1330" s="74"/>
      <c r="F1330" s="74"/>
      <c r="G1330" s="74"/>
      <c r="H1330" s="96" t="str">
        <f>IF(B1330&lt;1,"-",VLOOKUP(B1330,HARGA01,3))</f>
        <v>-</v>
      </c>
      <c r="I1330" s="96" t="str">
        <f>IF(H1330="-","-",A1330*H1330)</f>
        <v>-</v>
      </c>
    </row>
    <row r="1331" spans="1:9">
      <c r="A1331" s="634" t="s">
        <v>23</v>
      </c>
      <c r="B1331" s="635"/>
      <c r="C1331" s="634"/>
      <c r="D1331" s="634"/>
      <c r="E1331" s="634"/>
      <c r="F1331" s="634"/>
      <c r="G1331" s="634"/>
      <c r="H1331" s="636"/>
      <c r="I1331" s="96">
        <f>SUM(I1320:I1330)</f>
        <v>32530400</v>
      </c>
    </row>
    <row r="1332" spans="1:9">
      <c r="A1332" s="28" t="s">
        <v>24</v>
      </c>
      <c r="B1332" s="28"/>
      <c r="H1332" s="637" t="s">
        <v>25</v>
      </c>
      <c r="I1332" s="637"/>
    </row>
    <row r="1335" spans="1:9">
      <c r="H1335" s="94" t="s">
        <v>27</v>
      </c>
      <c r="I1335" s="25"/>
    </row>
    <row r="1336" spans="1:9" ht="27">
      <c r="A1336" s="2" t="s">
        <v>0</v>
      </c>
      <c r="B1336" s="2"/>
    </row>
    <row r="1337" spans="1:9">
      <c r="A1337" t="s">
        <v>1</v>
      </c>
      <c r="C1337" t="s">
        <v>2</v>
      </c>
      <c r="H1337" t="s">
        <v>3</v>
      </c>
      <c r="I1337" s="73">
        <v>44302</v>
      </c>
    </row>
    <row r="1338" spans="1:9">
      <c r="C1338" t="s">
        <v>4</v>
      </c>
      <c r="H1338" t="s">
        <v>5</v>
      </c>
      <c r="I1338" t="s">
        <v>48</v>
      </c>
    </row>
    <row r="1339" spans="1:9">
      <c r="C1339" t="s">
        <v>7</v>
      </c>
      <c r="H1339" s="86"/>
      <c r="I1339" s="86" t="s">
        <v>49</v>
      </c>
    </row>
    <row r="1340" spans="1:9">
      <c r="A1340" t="s">
        <v>8</v>
      </c>
      <c r="C1340" s="87" t="s">
        <v>9</v>
      </c>
      <c r="D1340" s="87"/>
      <c r="E1340" s="87"/>
      <c r="F1340" s="87"/>
      <c r="G1340" s="87"/>
      <c r="H1340" t="s">
        <v>10</v>
      </c>
      <c r="I1340" s="114" t="s">
        <v>11</v>
      </c>
    </row>
    <row r="1341" spans="1:9">
      <c r="A1341" t="s">
        <v>12</v>
      </c>
      <c r="C1341" t="s">
        <v>13</v>
      </c>
      <c r="H1341" t="s">
        <v>14</v>
      </c>
      <c r="I1341" t="s">
        <v>11</v>
      </c>
    </row>
    <row r="1342" spans="1:9">
      <c r="A1342" s="88" t="s">
        <v>15</v>
      </c>
      <c r="B1342" s="89"/>
      <c r="C1342" s="74" t="s">
        <v>16</v>
      </c>
      <c r="D1342" s="74" t="s">
        <v>81</v>
      </c>
      <c r="E1342" s="74" t="s">
        <v>82</v>
      </c>
      <c r="F1342" s="74" t="s">
        <v>83</v>
      </c>
      <c r="G1342" s="74" t="s">
        <v>84</v>
      </c>
      <c r="H1342" s="95" t="s">
        <v>85</v>
      </c>
      <c r="I1342" s="95" t="s">
        <v>18</v>
      </c>
    </row>
    <row r="1343" spans="1:9">
      <c r="A1343" s="90">
        <v>2</v>
      </c>
      <c r="B1343" s="91"/>
      <c r="C1343" s="89" t="s">
        <v>127</v>
      </c>
      <c r="D1343" s="112">
        <v>200</v>
      </c>
      <c r="E1343" s="112">
        <v>140</v>
      </c>
      <c r="F1343" s="112">
        <v>20</v>
      </c>
      <c r="G1343" s="96">
        <v>1570</v>
      </c>
      <c r="H1343" s="96">
        <f>G1343*F1343*E1343*D1343/1000</f>
        <v>879200</v>
      </c>
      <c r="I1343" s="96">
        <f t="shared" ref="I1343:I1350" si="71">IF(H1343="-","-",A1343*H1343)</f>
        <v>1758400</v>
      </c>
    </row>
    <row r="1344" spans="1:9">
      <c r="A1344" s="90">
        <v>10</v>
      </c>
      <c r="B1344" s="91"/>
      <c r="C1344" s="89" t="s">
        <v>127</v>
      </c>
      <c r="D1344" s="112">
        <v>200</v>
      </c>
      <c r="E1344" s="112">
        <v>150</v>
      </c>
      <c r="F1344" s="112">
        <v>20</v>
      </c>
      <c r="G1344" s="96">
        <v>1570</v>
      </c>
      <c r="H1344" s="96">
        <f>G1344*F1344*E1344*D1344/1000</f>
        <v>942000</v>
      </c>
      <c r="I1344" s="96">
        <f t="shared" si="71"/>
        <v>9420000</v>
      </c>
    </row>
    <row r="1345" spans="1:9">
      <c r="A1345" s="90">
        <v>10</v>
      </c>
      <c r="B1345" s="91"/>
      <c r="C1345" s="89" t="s">
        <v>127</v>
      </c>
      <c r="D1345" s="112">
        <v>200</v>
      </c>
      <c r="E1345" s="112">
        <v>160</v>
      </c>
      <c r="F1345" s="112">
        <v>20</v>
      </c>
      <c r="G1345" s="96">
        <v>1570</v>
      </c>
      <c r="H1345" s="96">
        <f>G1345*F1345*E1345*D1345/1000</f>
        <v>1004800</v>
      </c>
      <c r="I1345" s="96">
        <f t="shared" si="71"/>
        <v>10048000</v>
      </c>
    </row>
    <row r="1346" spans="1:9">
      <c r="A1346" s="90">
        <v>10</v>
      </c>
      <c r="B1346" s="91"/>
      <c r="C1346" s="89" t="s">
        <v>127</v>
      </c>
      <c r="D1346" s="112">
        <v>200</v>
      </c>
      <c r="E1346" s="112">
        <v>180</v>
      </c>
      <c r="F1346" s="112">
        <v>20</v>
      </c>
      <c r="G1346" s="96">
        <v>1570</v>
      </c>
      <c r="H1346" s="96">
        <f>G1346*F1346*E1346*D1346/1000</f>
        <v>1130400</v>
      </c>
      <c r="I1346" s="96">
        <f t="shared" si="71"/>
        <v>11304000</v>
      </c>
    </row>
    <row r="1347" spans="1:9">
      <c r="A1347" s="90"/>
      <c r="B1347" s="91"/>
      <c r="C1347" s="89"/>
      <c r="D1347" s="112"/>
      <c r="E1347" s="112"/>
      <c r="F1347" s="112"/>
      <c r="G1347" s="96"/>
      <c r="H1347" s="96"/>
      <c r="I1347" s="96">
        <f t="shared" si="71"/>
        <v>0</v>
      </c>
    </row>
    <row r="1348" spans="1:9">
      <c r="A1348" s="90"/>
      <c r="B1348" s="91"/>
      <c r="C1348" s="89"/>
      <c r="D1348" s="112"/>
      <c r="E1348" s="112"/>
      <c r="F1348" s="112"/>
      <c r="G1348" s="96"/>
      <c r="H1348" s="96"/>
      <c r="I1348" s="96">
        <f t="shared" si="71"/>
        <v>0</v>
      </c>
    </row>
    <row r="1349" spans="1:9">
      <c r="A1349" s="90"/>
      <c r="B1349" s="91"/>
      <c r="C1349" s="89"/>
      <c r="D1349" s="112"/>
      <c r="E1349" s="112"/>
      <c r="F1349" s="112"/>
      <c r="G1349" s="96"/>
      <c r="H1349" s="96"/>
      <c r="I1349" s="96">
        <f t="shared" si="71"/>
        <v>0</v>
      </c>
    </row>
    <row r="1350" spans="1:9">
      <c r="A1350" s="90"/>
      <c r="B1350" s="91"/>
      <c r="C1350" s="89"/>
      <c r="D1350" s="112"/>
      <c r="E1350" s="112"/>
      <c r="F1350" s="112"/>
      <c r="G1350" s="96"/>
      <c r="H1350" s="96"/>
      <c r="I1350" s="96">
        <f t="shared" si="71"/>
        <v>0</v>
      </c>
    </row>
    <row r="1351" spans="1:9">
      <c r="A1351" s="90"/>
      <c r="B1351" s="91"/>
      <c r="C1351" s="89"/>
      <c r="D1351" s="112"/>
      <c r="E1351" s="112"/>
      <c r="F1351" s="112"/>
      <c r="G1351" s="96"/>
      <c r="H1351" s="96"/>
      <c r="I1351" s="96"/>
    </row>
    <row r="1352" spans="1:9">
      <c r="A1352" s="90"/>
      <c r="B1352" s="91"/>
      <c r="C1352" s="89"/>
      <c r="D1352" s="112"/>
      <c r="E1352" s="112"/>
      <c r="F1352" s="112"/>
      <c r="G1352" s="96"/>
      <c r="H1352" s="96"/>
      <c r="I1352" s="96"/>
    </row>
    <row r="1353" spans="1:9">
      <c r="A1353" s="90">
        <f>SUM(A1343:A1352)</f>
        <v>32</v>
      </c>
      <c r="B1353" s="91"/>
      <c r="C1353" s="74" t="str">
        <f>IF(B1353&lt;1,"-",VLOOKUP(B1353,HARGA01,2))</f>
        <v>-</v>
      </c>
      <c r="D1353" s="74"/>
      <c r="E1353" s="74"/>
      <c r="F1353" s="74"/>
      <c r="G1353" s="74"/>
      <c r="H1353" s="96" t="str">
        <f>IF(B1353&lt;1,"-",VLOOKUP(B1353,HARGA01,3))</f>
        <v>-</v>
      </c>
      <c r="I1353" s="96" t="str">
        <f>IF(H1353="-","-",A1353*H1353)</f>
        <v>-</v>
      </c>
    </row>
    <row r="1354" spans="1:9">
      <c r="A1354" s="634" t="s">
        <v>23</v>
      </c>
      <c r="B1354" s="635"/>
      <c r="C1354" s="634"/>
      <c r="D1354" s="634"/>
      <c r="E1354" s="634"/>
      <c r="F1354" s="634"/>
      <c r="G1354" s="634"/>
      <c r="H1354" s="636"/>
      <c r="I1354" s="96">
        <f>SUM(I1343:I1353)</f>
        <v>32530400</v>
      </c>
    </row>
    <row r="1355" spans="1:9">
      <c r="A1355" s="28" t="s">
        <v>24</v>
      </c>
      <c r="B1355" s="28"/>
      <c r="H1355" s="637" t="s">
        <v>25</v>
      </c>
      <c r="I1355" s="637"/>
    </row>
    <row r="1358" spans="1:9">
      <c r="H1358" s="94" t="s">
        <v>27</v>
      </c>
      <c r="I1358" s="25"/>
    </row>
    <row r="1359" spans="1:9" ht="27">
      <c r="A1359" s="2" t="s">
        <v>0</v>
      </c>
      <c r="B1359" s="2"/>
    </row>
    <row r="1360" spans="1:9">
      <c r="A1360" t="s">
        <v>1</v>
      </c>
      <c r="C1360" t="s">
        <v>2</v>
      </c>
      <c r="H1360" t="s">
        <v>3</v>
      </c>
      <c r="I1360" s="73">
        <v>44336</v>
      </c>
    </row>
    <row r="1361" spans="1:9">
      <c r="C1361" t="s">
        <v>4</v>
      </c>
      <c r="H1361" t="s">
        <v>5</v>
      </c>
      <c r="I1361" t="s">
        <v>129</v>
      </c>
    </row>
    <row r="1362" spans="1:9">
      <c r="C1362" t="s">
        <v>7</v>
      </c>
      <c r="H1362" s="86"/>
      <c r="I1362" s="86" t="s">
        <v>130</v>
      </c>
    </row>
    <row r="1363" spans="1:9">
      <c r="A1363" t="s">
        <v>8</v>
      </c>
      <c r="C1363" s="87" t="s">
        <v>9</v>
      </c>
      <c r="D1363" s="87"/>
      <c r="E1363" s="87"/>
      <c r="F1363" s="87"/>
      <c r="G1363" s="87"/>
      <c r="H1363" t="s">
        <v>10</v>
      </c>
      <c r="I1363" s="114" t="s">
        <v>11</v>
      </c>
    </row>
    <row r="1364" spans="1:9">
      <c r="A1364" t="s">
        <v>12</v>
      </c>
      <c r="C1364" t="s">
        <v>13</v>
      </c>
      <c r="H1364" t="s">
        <v>14</v>
      </c>
      <c r="I1364" t="s">
        <v>11</v>
      </c>
    </row>
    <row r="1365" spans="1:9">
      <c r="A1365" s="88" t="s">
        <v>15</v>
      </c>
      <c r="B1365" s="89"/>
      <c r="C1365" s="74" t="s">
        <v>16</v>
      </c>
      <c r="D1365" s="74" t="s">
        <v>81</v>
      </c>
      <c r="E1365" s="74" t="s">
        <v>82</v>
      </c>
      <c r="F1365" s="74" t="s">
        <v>83</v>
      </c>
      <c r="G1365" s="74" t="s">
        <v>84</v>
      </c>
      <c r="H1365" s="95" t="s">
        <v>85</v>
      </c>
      <c r="I1365" s="95" t="s">
        <v>18</v>
      </c>
    </row>
    <row r="1366" spans="1:9">
      <c r="A1366" s="90">
        <v>2</v>
      </c>
      <c r="B1366" s="91"/>
      <c r="C1366" s="89" t="s">
        <v>131</v>
      </c>
      <c r="D1366" s="112">
        <v>200</v>
      </c>
      <c r="E1366" s="112">
        <v>120</v>
      </c>
      <c r="F1366" s="112">
        <v>20</v>
      </c>
      <c r="G1366" s="96">
        <v>1570</v>
      </c>
      <c r="H1366" s="96">
        <f>G1366*F1366*E1366*D1366/1000</f>
        <v>753600</v>
      </c>
      <c r="I1366" s="96">
        <f t="shared" ref="I1366:I1373" si="72">IF(H1366="-","-",A1366*H1366)</f>
        <v>1507200</v>
      </c>
    </row>
    <row r="1367" spans="1:9">
      <c r="A1367" s="90"/>
      <c r="B1367" s="91"/>
      <c r="C1367" s="89"/>
      <c r="D1367" s="112"/>
      <c r="E1367" s="112"/>
      <c r="F1367" s="112"/>
      <c r="G1367" s="96"/>
      <c r="H1367" s="96">
        <f>G1367*F1367*E1367*D1367/1000</f>
        <v>0</v>
      </c>
      <c r="I1367" s="96">
        <f t="shared" si="72"/>
        <v>0</v>
      </c>
    </row>
    <row r="1368" spans="1:9">
      <c r="A1368" s="90"/>
      <c r="B1368" s="91"/>
      <c r="C1368" s="89"/>
      <c r="D1368" s="112"/>
      <c r="E1368" s="112"/>
      <c r="F1368" s="112"/>
      <c r="G1368" s="96"/>
      <c r="H1368" s="96">
        <f>G1368*F1368*E1368*D1368/1000</f>
        <v>0</v>
      </c>
      <c r="I1368" s="96">
        <f t="shared" si="72"/>
        <v>0</v>
      </c>
    </row>
    <row r="1369" spans="1:9">
      <c r="A1369" s="90"/>
      <c r="B1369" s="91"/>
      <c r="C1369" s="89"/>
      <c r="D1369" s="112"/>
      <c r="E1369" s="112"/>
      <c r="F1369" s="112"/>
      <c r="G1369" s="96"/>
      <c r="H1369" s="96">
        <f>G1369*F1369*E1369*D1369/1000</f>
        <v>0</v>
      </c>
      <c r="I1369" s="96">
        <f t="shared" si="72"/>
        <v>0</v>
      </c>
    </row>
    <row r="1370" spans="1:9">
      <c r="A1370" s="90"/>
      <c r="B1370" s="91"/>
      <c r="C1370" s="89"/>
      <c r="D1370" s="112"/>
      <c r="E1370" s="112"/>
      <c r="F1370" s="112"/>
      <c r="G1370" s="96"/>
      <c r="H1370" s="96"/>
      <c r="I1370" s="96">
        <f t="shared" si="72"/>
        <v>0</v>
      </c>
    </row>
    <row r="1371" spans="1:9">
      <c r="A1371" s="90"/>
      <c r="B1371" s="91"/>
      <c r="C1371" s="89"/>
      <c r="D1371" s="112"/>
      <c r="E1371" s="112"/>
      <c r="F1371" s="112"/>
      <c r="G1371" s="96"/>
      <c r="H1371" s="96"/>
      <c r="I1371" s="96">
        <f t="shared" si="72"/>
        <v>0</v>
      </c>
    </row>
    <row r="1372" spans="1:9">
      <c r="A1372" s="90"/>
      <c r="B1372" s="91"/>
      <c r="C1372" s="89"/>
      <c r="D1372" s="112"/>
      <c r="E1372" s="112"/>
      <c r="F1372" s="112"/>
      <c r="G1372" s="96"/>
      <c r="H1372" s="96"/>
      <c r="I1372" s="96">
        <f t="shared" si="72"/>
        <v>0</v>
      </c>
    </row>
    <row r="1373" spans="1:9">
      <c r="A1373" s="90"/>
      <c r="B1373" s="91"/>
      <c r="C1373" s="89"/>
      <c r="D1373" s="112"/>
      <c r="E1373" s="112"/>
      <c r="F1373" s="112"/>
      <c r="G1373" s="96"/>
      <c r="H1373" s="96"/>
      <c r="I1373" s="96">
        <f t="shared" si="72"/>
        <v>0</v>
      </c>
    </row>
    <row r="1374" spans="1:9">
      <c r="A1374" s="90"/>
      <c r="B1374" s="91"/>
      <c r="C1374" s="89"/>
      <c r="D1374" s="112"/>
      <c r="E1374" s="112"/>
      <c r="F1374" s="112"/>
      <c r="G1374" s="96"/>
      <c r="H1374" s="96"/>
      <c r="I1374" s="96"/>
    </row>
    <row r="1375" spans="1:9">
      <c r="A1375" s="90"/>
      <c r="B1375" s="91"/>
      <c r="C1375" s="89"/>
      <c r="D1375" s="112"/>
      <c r="E1375" s="112"/>
      <c r="F1375" s="112"/>
      <c r="G1375" s="96"/>
      <c r="H1375" s="96"/>
      <c r="I1375" s="96"/>
    </row>
    <row r="1376" spans="1:9">
      <c r="A1376" s="90">
        <f>SUM(A1366:A1375)</f>
        <v>2</v>
      </c>
      <c r="B1376" s="91"/>
      <c r="C1376" s="74" t="str">
        <f>IF(B1376&lt;1,"-",VLOOKUP(B1376,HARGA01,2))</f>
        <v>-</v>
      </c>
      <c r="D1376" s="74"/>
      <c r="E1376" s="74"/>
      <c r="F1376" s="74"/>
      <c r="G1376" s="74"/>
      <c r="H1376" s="96" t="str">
        <f>IF(B1376&lt;1,"-",VLOOKUP(B1376,HARGA01,3))</f>
        <v>-</v>
      </c>
      <c r="I1376" s="96" t="str">
        <f>IF(H1376="-","-",A1376*H1376)</f>
        <v>-</v>
      </c>
    </row>
    <row r="1377" spans="1:9">
      <c r="A1377" s="634" t="s">
        <v>23</v>
      </c>
      <c r="B1377" s="635"/>
      <c r="C1377" s="634"/>
      <c r="D1377" s="634"/>
      <c r="E1377" s="634"/>
      <c r="F1377" s="634"/>
      <c r="G1377" s="634"/>
      <c r="H1377" s="636"/>
      <c r="I1377" s="96">
        <f>SUM(I1366:I1376)</f>
        <v>1507200</v>
      </c>
    </row>
    <row r="1378" spans="1:9">
      <c r="A1378" s="28" t="s">
        <v>24</v>
      </c>
      <c r="B1378" s="28"/>
      <c r="H1378" s="637" t="s">
        <v>25</v>
      </c>
      <c r="I1378" s="637"/>
    </row>
    <row r="1381" spans="1:9">
      <c r="H1381" s="94" t="s">
        <v>27</v>
      </c>
      <c r="I1381" s="25"/>
    </row>
    <row r="1382" spans="1:9" ht="27">
      <c r="A1382" s="2" t="s">
        <v>0</v>
      </c>
      <c r="B1382" s="2"/>
    </row>
    <row r="1383" spans="1:9">
      <c r="A1383" t="s">
        <v>1</v>
      </c>
      <c r="C1383" t="s">
        <v>2</v>
      </c>
      <c r="H1383" t="s">
        <v>3</v>
      </c>
      <c r="I1383" s="73">
        <v>44317</v>
      </c>
    </row>
    <row r="1384" spans="1:9">
      <c r="C1384" t="s">
        <v>4</v>
      </c>
      <c r="H1384" t="s">
        <v>5</v>
      </c>
      <c r="I1384" t="s">
        <v>48</v>
      </c>
    </row>
    <row r="1385" spans="1:9">
      <c r="C1385" t="s">
        <v>7</v>
      </c>
      <c r="H1385" s="86"/>
      <c r="I1385" s="86" t="s">
        <v>49</v>
      </c>
    </row>
    <row r="1386" spans="1:9">
      <c r="A1386" t="s">
        <v>8</v>
      </c>
      <c r="C1386" s="87" t="s">
        <v>9</v>
      </c>
      <c r="D1386" s="87"/>
      <c r="E1386" s="87"/>
      <c r="F1386" s="87"/>
      <c r="G1386" s="87"/>
      <c r="H1386" t="s">
        <v>10</v>
      </c>
      <c r="I1386" s="114" t="s">
        <v>11</v>
      </c>
    </row>
    <row r="1387" spans="1:9">
      <c r="A1387" t="s">
        <v>12</v>
      </c>
      <c r="C1387" t="s">
        <v>13</v>
      </c>
      <c r="H1387" t="s">
        <v>14</v>
      </c>
      <c r="I1387" t="s">
        <v>11</v>
      </c>
    </row>
    <row r="1388" spans="1:9">
      <c r="A1388" s="88" t="s">
        <v>15</v>
      </c>
      <c r="B1388" s="89"/>
      <c r="C1388" s="74" t="s">
        <v>16</v>
      </c>
      <c r="D1388" s="74" t="s">
        <v>81</v>
      </c>
      <c r="E1388" s="74" t="s">
        <v>82</v>
      </c>
      <c r="F1388" s="74" t="s">
        <v>83</v>
      </c>
      <c r="G1388" s="74" t="s">
        <v>84</v>
      </c>
      <c r="H1388" s="95" t="s">
        <v>85</v>
      </c>
      <c r="I1388" s="95" t="s">
        <v>18</v>
      </c>
    </row>
    <row r="1389" spans="1:9">
      <c r="A1389" s="90">
        <v>10</v>
      </c>
      <c r="B1389" s="91"/>
      <c r="C1389" s="89" t="s">
        <v>127</v>
      </c>
      <c r="D1389" s="112">
        <v>200</v>
      </c>
      <c r="E1389" s="112">
        <v>150</v>
      </c>
      <c r="F1389" s="112">
        <v>20</v>
      </c>
      <c r="G1389" s="96">
        <v>1570</v>
      </c>
      <c r="H1389" s="96">
        <f>G1389*F1389*E1389*D1389/1000</f>
        <v>942000</v>
      </c>
      <c r="I1389" s="96">
        <f t="shared" ref="I1389:I1396" si="73">IF(H1389="-","-",A1389*H1389)</f>
        <v>9420000</v>
      </c>
    </row>
    <row r="1390" spans="1:9">
      <c r="A1390" s="90">
        <v>10</v>
      </c>
      <c r="B1390" s="91"/>
      <c r="C1390" s="89" t="s">
        <v>127</v>
      </c>
      <c r="D1390" s="112">
        <v>200</v>
      </c>
      <c r="E1390" s="112">
        <v>160</v>
      </c>
      <c r="F1390" s="112">
        <v>20</v>
      </c>
      <c r="G1390" s="96">
        <v>1570</v>
      </c>
      <c r="H1390" s="96">
        <f>G1390*F1390*E1390*D1390/1000</f>
        <v>1004800</v>
      </c>
      <c r="I1390" s="96">
        <f t="shared" si="73"/>
        <v>10048000</v>
      </c>
    </row>
    <row r="1391" spans="1:9">
      <c r="A1391" s="90">
        <v>10</v>
      </c>
      <c r="B1391" s="91"/>
      <c r="C1391" s="89" t="s">
        <v>127</v>
      </c>
      <c r="D1391" s="112">
        <v>200</v>
      </c>
      <c r="E1391" s="112">
        <v>120</v>
      </c>
      <c r="F1391" s="112">
        <v>15</v>
      </c>
      <c r="G1391" s="96">
        <v>1570</v>
      </c>
      <c r="H1391" s="96">
        <f>G1391*F1391*E1391*D1391/1000</f>
        <v>565200</v>
      </c>
      <c r="I1391" s="96">
        <f t="shared" si="73"/>
        <v>5652000</v>
      </c>
    </row>
    <row r="1392" spans="1:9">
      <c r="A1392" s="90">
        <v>10</v>
      </c>
      <c r="B1392" s="91"/>
      <c r="C1392" s="89" t="s">
        <v>127</v>
      </c>
      <c r="D1392" s="112">
        <v>200</v>
      </c>
      <c r="E1392" s="112">
        <v>140</v>
      </c>
      <c r="F1392" s="112">
        <v>15</v>
      </c>
      <c r="G1392" s="96">
        <v>1570</v>
      </c>
      <c r="H1392" s="96">
        <f>G1392*F1392*E1392*D1392/1000</f>
        <v>659400</v>
      </c>
      <c r="I1392" s="96">
        <f t="shared" si="73"/>
        <v>6594000</v>
      </c>
    </row>
    <row r="1393" spans="1:9">
      <c r="A1393" s="90"/>
      <c r="B1393" s="91"/>
      <c r="C1393" s="89"/>
      <c r="D1393" s="112"/>
      <c r="E1393" s="112"/>
      <c r="F1393" s="112"/>
      <c r="G1393" s="96"/>
      <c r="H1393" s="96"/>
      <c r="I1393" s="96">
        <f t="shared" si="73"/>
        <v>0</v>
      </c>
    </row>
    <row r="1394" spans="1:9">
      <c r="A1394" s="90"/>
      <c r="B1394" s="91"/>
      <c r="C1394" s="89"/>
      <c r="D1394" s="112"/>
      <c r="E1394" s="112"/>
      <c r="F1394" s="112"/>
      <c r="G1394" s="96"/>
      <c r="H1394" s="96"/>
      <c r="I1394" s="96">
        <f t="shared" si="73"/>
        <v>0</v>
      </c>
    </row>
    <row r="1395" spans="1:9">
      <c r="A1395" s="90"/>
      <c r="B1395" s="91"/>
      <c r="C1395" s="89"/>
      <c r="D1395" s="112"/>
      <c r="E1395" s="112"/>
      <c r="F1395" s="112"/>
      <c r="G1395" s="96"/>
      <c r="H1395" s="96"/>
      <c r="I1395" s="96">
        <f t="shared" si="73"/>
        <v>0</v>
      </c>
    </row>
    <row r="1396" spans="1:9">
      <c r="A1396" s="90"/>
      <c r="B1396" s="91"/>
      <c r="C1396" s="89"/>
      <c r="D1396" s="112"/>
      <c r="E1396" s="112"/>
      <c r="F1396" s="112"/>
      <c r="G1396" s="96"/>
      <c r="H1396" s="96"/>
      <c r="I1396" s="96">
        <f t="shared" si="73"/>
        <v>0</v>
      </c>
    </row>
    <row r="1397" spans="1:9">
      <c r="A1397" s="90"/>
      <c r="B1397" s="91"/>
      <c r="C1397" s="89"/>
      <c r="D1397" s="112"/>
      <c r="E1397" s="112"/>
      <c r="F1397" s="112"/>
      <c r="G1397" s="96"/>
      <c r="H1397" s="96"/>
      <c r="I1397" s="96"/>
    </row>
    <row r="1398" spans="1:9">
      <c r="A1398" s="90"/>
      <c r="B1398" s="91"/>
      <c r="C1398" s="89"/>
      <c r="D1398" s="112"/>
      <c r="E1398" s="112"/>
      <c r="F1398" s="112"/>
      <c r="G1398" s="96"/>
      <c r="H1398" s="96"/>
      <c r="I1398" s="96"/>
    </row>
    <row r="1399" spans="1:9">
      <c r="A1399" s="90">
        <f>SUM(A1389:A1398)</f>
        <v>40</v>
      </c>
      <c r="B1399" s="91"/>
      <c r="C1399" s="74" t="str">
        <f>IF(B1399&lt;1,"-",VLOOKUP(B1399,HARGA01,2))</f>
        <v>-</v>
      </c>
      <c r="D1399" s="74"/>
      <c r="E1399" s="74"/>
      <c r="F1399" s="74"/>
      <c r="G1399" s="74"/>
      <c r="H1399" s="96" t="str">
        <f>IF(B1399&lt;1,"-",VLOOKUP(B1399,HARGA01,3))</f>
        <v>-</v>
      </c>
      <c r="I1399" s="96" t="str">
        <f>IF(H1399="-","-",A1399*H1399)</f>
        <v>-</v>
      </c>
    </row>
    <row r="1400" spans="1:9">
      <c r="A1400" s="634" t="s">
        <v>23</v>
      </c>
      <c r="B1400" s="635"/>
      <c r="C1400" s="634"/>
      <c r="D1400" s="634"/>
      <c r="E1400" s="634"/>
      <c r="F1400" s="634"/>
      <c r="G1400" s="634"/>
      <c r="H1400" s="636"/>
      <c r="I1400" s="96">
        <f>SUM(I1389:I1399)</f>
        <v>31714000</v>
      </c>
    </row>
    <row r="1401" spans="1:9">
      <c r="A1401" s="28" t="s">
        <v>24</v>
      </c>
      <c r="B1401" s="28"/>
      <c r="H1401" s="637" t="s">
        <v>25</v>
      </c>
      <c r="I1401" s="637"/>
    </row>
    <row r="1404" spans="1:9">
      <c r="H1404" s="94" t="s">
        <v>27</v>
      </c>
      <c r="I1404" s="25"/>
    </row>
    <row r="1405" spans="1:9" ht="27">
      <c r="A1405" s="2" t="s">
        <v>0</v>
      </c>
      <c r="B1405" s="2"/>
    </row>
    <row r="1406" spans="1:9">
      <c r="A1406" t="s">
        <v>1</v>
      </c>
      <c r="C1406" t="s">
        <v>2</v>
      </c>
      <c r="H1406" t="s">
        <v>3</v>
      </c>
      <c r="I1406" s="73">
        <v>44349</v>
      </c>
    </row>
    <row r="1407" spans="1:9">
      <c r="C1407" t="s">
        <v>4</v>
      </c>
      <c r="H1407" t="s">
        <v>5</v>
      </c>
      <c r="I1407" t="s">
        <v>48</v>
      </c>
    </row>
    <row r="1408" spans="1:9">
      <c r="C1408" t="s">
        <v>7</v>
      </c>
      <c r="H1408" s="86"/>
      <c r="I1408" s="86" t="s">
        <v>49</v>
      </c>
    </row>
    <row r="1409" spans="1:9">
      <c r="A1409" t="s">
        <v>8</v>
      </c>
      <c r="C1409" s="87" t="s">
        <v>9</v>
      </c>
      <c r="D1409" s="87"/>
      <c r="E1409" s="87"/>
      <c r="F1409" s="87"/>
      <c r="G1409" s="87"/>
      <c r="H1409" t="s">
        <v>10</v>
      </c>
      <c r="I1409" s="114" t="s">
        <v>11</v>
      </c>
    </row>
    <row r="1410" spans="1:9">
      <c r="A1410" t="s">
        <v>12</v>
      </c>
      <c r="C1410" t="s">
        <v>13</v>
      </c>
      <c r="H1410" t="s">
        <v>14</v>
      </c>
      <c r="I1410" t="s">
        <v>11</v>
      </c>
    </row>
    <row r="1411" spans="1:9">
      <c r="A1411" s="88" t="s">
        <v>15</v>
      </c>
      <c r="B1411" s="89"/>
      <c r="C1411" s="74" t="s">
        <v>16</v>
      </c>
      <c r="D1411" s="74" t="s">
        <v>81</v>
      </c>
      <c r="E1411" s="74" t="s">
        <v>82</v>
      </c>
      <c r="F1411" s="74" t="s">
        <v>83</v>
      </c>
      <c r="G1411" s="74" t="s">
        <v>84</v>
      </c>
      <c r="H1411" s="95" t="s">
        <v>85</v>
      </c>
      <c r="I1411" s="95" t="s">
        <v>18</v>
      </c>
    </row>
    <row r="1412" spans="1:9">
      <c r="A1412" s="90">
        <v>10</v>
      </c>
      <c r="B1412" s="91"/>
      <c r="C1412" s="89" t="s">
        <v>100</v>
      </c>
      <c r="D1412" s="112">
        <v>200</v>
      </c>
      <c r="E1412" s="112">
        <v>160</v>
      </c>
      <c r="F1412" s="112">
        <v>20</v>
      </c>
      <c r="G1412" s="96">
        <v>1570</v>
      </c>
      <c r="H1412" s="96">
        <f>G1412*F1412*E1412*D1412/1000</f>
        <v>1004800</v>
      </c>
      <c r="I1412" s="96">
        <f t="shared" ref="I1412:I1419" si="74">IF(H1412="-","-",A1412*H1412)</f>
        <v>10048000</v>
      </c>
    </row>
    <row r="1413" spans="1:9">
      <c r="A1413" s="90">
        <v>6</v>
      </c>
      <c r="B1413" s="91"/>
      <c r="C1413" s="89" t="s">
        <v>100</v>
      </c>
      <c r="D1413" s="112">
        <v>200</v>
      </c>
      <c r="E1413" s="112">
        <v>160</v>
      </c>
      <c r="F1413" s="112">
        <v>15</v>
      </c>
      <c r="G1413" s="96">
        <v>1570</v>
      </c>
      <c r="H1413" s="96">
        <f>G1413*F1413*E1413*D1413/1000</f>
        <v>753600</v>
      </c>
      <c r="I1413" s="96">
        <f t="shared" si="74"/>
        <v>4521600</v>
      </c>
    </row>
    <row r="1414" spans="1:9">
      <c r="A1414" s="90"/>
      <c r="B1414" s="91"/>
      <c r="C1414" s="89"/>
      <c r="D1414" s="112"/>
      <c r="E1414" s="112"/>
      <c r="F1414" s="112"/>
      <c r="G1414" s="96"/>
      <c r="H1414" s="96"/>
      <c r="I1414" s="96">
        <f t="shared" si="74"/>
        <v>0</v>
      </c>
    </row>
    <row r="1415" spans="1:9">
      <c r="A1415" s="90"/>
      <c r="B1415" s="91"/>
      <c r="C1415" s="89"/>
      <c r="D1415" s="112"/>
      <c r="E1415" s="112"/>
      <c r="F1415" s="112"/>
      <c r="G1415" s="96"/>
      <c r="H1415" s="96"/>
      <c r="I1415" s="96">
        <f t="shared" si="74"/>
        <v>0</v>
      </c>
    </row>
    <row r="1416" spans="1:9">
      <c r="A1416" s="90"/>
      <c r="B1416" s="91"/>
      <c r="C1416" s="89"/>
      <c r="D1416" s="112"/>
      <c r="E1416" s="112"/>
      <c r="F1416" s="112"/>
      <c r="G1416" s="96"/>
      <c r="H1416" s="96"/>
      <c r="I1416" s="96">
        <f t="shared" si="74"/>
        <v>0</v>
      </c>
    </row>
    <row r="1417" spans="1:9">
      <c r="A1417" s="90"/>
      <c r="B1417" s="91"/>
      <c r="C1417" s="89"/>
      <c r="D1417" s="112"/>
      <c r="E1417" s="112"/>
      <c r="F1417" s="112"/>
      <c r="G1417" s="96"/>
      <c r="H1417" s="96"/>
      <c r="I1417" s="96">
        <f t="shared" si="74"/>
        <v>0</v>
      </c>
    </row>
    <row r="1418" spans="1:9">
      <c r="A1418" s="90"/>
      <c r="B1418" s="91"/>
      <c r="C1418" s="89"/>
      <c r="D1418" s="112"/>
      <c r="E1418" s="112"/>
      <c r="F1418" s="112"/>
      <c r="G1418" s="96"/>
      <c r="H1418" s="96"/>
      <c r="I1418" s="96">
        <f t="shared" si="74"/>
        <v>0</v>
      </c>
    </row>
    <row r="1419" spans="1:9">
      <c r="A1419" s="90"/>
      <c r="B1419" s="91"/>
      <c r="C1419" s="89"/>
      <c r="D1419" s="112"/>
      <c r="E1419" s="112"/>
      <c r="F1419" s="112"/>
      <c r="G1419" s="96"/>
      <c r="H1419" s="96"/>
      <c r="I1419" s="96">
        <f t="shared" si="74"/>
        <v>0</v>
      </c>
    </row>
    <row r="1420" spans="1:9">
      <c r="A1420" s="90"/>
      <c r="B1420" s="91"/>
      <c r="C1420" s="89"/>
      <c r="D1420" s="112"/>
      <c r="E1420" s="112"/>
      <c r="F1420" s="112"/>
      <c r="G1420" s="96"/>
      <c r="H1420" s="96"/>
      <c r="I1420" s="96"/>
    </row>
    <row r="1421" spans="1:9">
      <c r="A1421" s="90"/>
      <c r="B1421" s="91"/>
      <c r="C1421" s="89"/>
      <c r="D1421" s="112"/>
      <c r="E1421" s="112"/>
      <c r="F1421" s="112"/>
      <c r="G1421" s="96"/>
      <c r="H1421" s="96"/>
      <c r="I1421" s="96"/>
    </row>
    <row r="1422" spans="1:9">
      <c r="A1422" s="90">
        <f>SUM(A1412:A1421)</f>
        <v>16</v>
      </c>
      <c r="B1422" s="91"/>
      <c r="C1422" s="74" t="str">
        <f>IF(B1422&lt;1,"-",VLOOKUP(B1422,HARGA01,2))</f>
        <v>-</v>
      </c>
      <c r="D1422" s="74"/>
      <c r="E1422" s="74"/>
      <c r="F1422" s="74"/>
      <c r="G1422" s="74"/>
      <c r="H1422" s="96" t="str">
        <f>IF(B1422&lt;1,"-",VLOOKUP(B1422,HARGA01,3))</f>
        <v>-</v>
      </c>
      <c r="I1422" s="96" t="str">
        <f>IF(H1422="-","-",A1422*H1422)</f>
        <v>-</v>
      </c>
    </row>
    <row r="1423" spans="1:9">
      <c r="A1423" s="634" t="s">
        <v>23</v>
      </c>
      <c r="B1423" s="635"/>
      <c r="C1423" s="634"/>
      <c r="D1423" s="634"/>
      <c r="E1423" s="634"/>
      <c r="F1423" s="634"/>
      <c r="G1423" s="634"/>
      <c r="H1423" s="636"/>
      <c r="I1423" s="96">
        <f>SUM(I1412:I1422)</f>
        <v>14569600</v>
      </c>
    </row>
    <row r="1424" spans="1:9">
      <c r="A1424" s="28" t="s">
        <v>24</v>
      </c>
      <c r="B1424" s="28"/>
      <c r="H1424" s="637" t="s">
        <v>25</v>
      </c>
      <c r="I1424" s="637"/>
    </row>
    <row r="1427" spans="1:9">
      <c r="H1427" s="94" t="s">
        <v>27</v>
      </c>
      <c r="I1427" s="25"/>
    </row>
    <row r="1428" spans="1:9" ht="27">
      <c r="A1428" s="2" t="s">
        <v>0</v>
      </c>
      <c r="B1428" s="2"/>
    </row>
    <row r="1429" spans="1:9">
      <c r="A1429" t="s">
        <v>1</v>
      </c>
      <c r="C1429" t="s">
        <v>2</v>
      </c>
      <c r="H1429" t="s">
        <v>3</v>
      </c>
      <c r="I1429" s="73">
        <v>44352</v>
      </c>
    </row>
    <row r="1430" spans="1:9">
      <c r="C1430" t="s">
        <v>4</v>
      </c>
      <c r="H1430" t="s">
        <v>5</v>
      </c>
      <c r="I1430" t="s">
        <v>48</v>
      </c>
    </row>
    <row r="1431" spans="1:9">
      <c r="C1431" t="s">
        <v>7</v>
      </c>
      <c r="H1431" s="86"/>
      <c r="I1431" s="86" t="s">
        <v>49</v>
      </c>
    </row>
    <row r="1432" spans="1:9">
      <c r="A1432" t="s">
        <v>8</v>
      </c>
      <c r="C1432" s="87" t="s">
        <v>9</v>
      </c>
      <c r="D1432" s="87"/>
      <c r="E1432" s="87"/>
      <c r="F1432" s="87"/>
      <c r="G1432" s="87"/>
      <c r="H1432" t="s">
        <v>10</v>
      </c>
      <c r="I1432" s="114" t="s">
        <v>11</v>
      </c>
    </row>
    <row r="1433" spans="1:9">
      <c r="A1433" t="s">
        <v>12</v>
      </c>
      <c r="C1433" t="s">
        <v>13</v>
      </c>
      <c r="H1433" t="s">
        <v>14</v>
      </c>
      <c r="I1433" t="s">
        <v>11</v>
      </c>
    </row>
    <row r="1434" spans="1:9">
      <c r="A1434" s="88" t="s">
        <v>15</v>
      </c>
      <c r="B1434" s="89"/>
      <c r="C1434" s="74" t="s">
        <v>16</v>
      </c>
      <c r="D1434" s="74" t="s">
        <v>81</v>
      </c>
      <c r="E1434" s="74" t="s">
        <v>82</v>
      </c>
      <c r="F1434" s="74" t="s">
        <v>83</v>
      </c>
      <c r="G1434" s="74" t="s">
        <v>84</v>
      </c>
      <c r="H1434" s="95" t="s">
        <v>85</v>
      </c>
      <c r="I1434" s="95" t="s">
        <v>18</v>
      </c>
    </row>
    <row r="1435" spans="1:9">
      <c r="A1435" s="90">
        <v>15</v>
      </c>
      <c r="B1435" s="91"/>
      <c r="C1435" s="89" t="s">
        <v>100</v>
      </c>
      <c r="D1435" s="112">
        <v>200</v>
      </c>
      <c r="E1435" s="112">
        <v>140</v>
      </c>
      <c r="F1435" s="112">
        <v>20</v>
      </c>
      <c r="G1435" s="96">
        <v>1570</v>
      </c>
      <c r="H1435" s="96">
        <f>G1435*F1435*E1435*D1435/1000</f>
        <v>879200</v>
      </c>
      <c r="I1435" s="96">
        <f t="shared" ref="I1435:I1442" si="75">IF(H1435="-","-",A1435*H1435)</f>
        <v>13188000</v>
      </c>
    </row>
    <row r="1436" spans="1:9">
      <c r="A1436" s="90"/>
      <c r="B1436" s="91"/>
      <c r="C1436" s="89"/>
      <c r="D1436" s="112"/>
      <c r="E1436" s="112"/>
      <c r="F1436" s="112"/>
      <c r="G1436" s="96"/>
      <c r="H1436" s="96"/>
      <c r="I1436" s="96">
        <f t="shared" si="75"/>
        <v>0</v>
      </c>
    </row>
    <row r="1437" spans="1:9">
      <c r="A1437" s="90"/>
      <c r="B1437" s="91"/>
      <c r="C1437" s="89"/>
      <c r="D1437" s="112"/>
      <c r="E1437" s="112"/>
      <c r="F1437" s="112"/>
      <c r="G1437" s="96"/>
      <c r="H1437" s="96"/>
      <c r="I1437" s="96">
        <f t="shared" si="75"/>
        <v>0</v>
      </c>
    </row>
    <row r="1438" spans="1:9">
      <c r="A1438" s="90"/>
      <c r="B1438" s="91"/>
      <c r="C1438" s="89"/>
      <c r="D1438" s="112"/>
      <c r="E1438" s="112"/>
      <c r="F1438" s="112"/>
      <c r="G1438" s="96"/>
      <c r="H1438" s="96"/>
      <c r="I1438" s="96">
        <f t="shared" si="75"/>
        <v>0</v>
      </c>
    </row>
    <row r="1439" spans="1:9">
      <c r="A1439" s="90"/>
      <c r="B1439" s="91"/>
      <c r="C1439" s="89"/>
      <c r="D1439" s="112"/>
      <c r="E1439" s="112"/>
      <c r="F1439" s="112"/>
      <c r="G1439" s="96"/>
      <c r="H1439" s="96"/>
      <c r="I1439" s="96">
        <f t="shared" si="75"/>
        <v>0</v>
      </c>
    </row>
    <row r="1440" spans="1:9">
      <c r="A1440" s="90"/>
      <c r="B1440" s="91"/>
      <c r="C1440" s="89"/>
      <c r="D1440" s="112"/>
      <c r="E1440" s="112"/>
      <c r="F1440" s="112"/>
      <c r="G1440" s="96"/>
      <c r="H1440" s="96"/>
      <c r="I1440" s="96">
        <f t="shared" si="75"/>
        <v>0</v>
      </c>
    </row>
    <row r="1441" spans="1:9">
      <c r="A1441" s="90"/>
      <c r="B1441" s="91"/>
      <c r="C1441" s="89"/>
      <c r="D1441" s="112"/>
      <c r="E1441" s="112"/>
      <c r="F1441" s="112"/>
      <c r="G1441" s="96"/>
      <c r="H1441" s="96"/>
      <c r="I1441" s="96">
        <f t="shared" si="75"/>
        <v>0</v>
      </c>
    </row>
    <row r="1442" spans="1:9">
      <c r="A1442" s="90"/>
      <c r="B1442" s="91"/>
      <c r="C1442" s="89"/>
      <c r="D1442" s="112"/>
      <c r="E1442" s="112"/>
      <c r="F1442" s="112"/>
      <c r="G1442" s="96"/>
      <c r="H1442" s="96"/>
      <c r="I1442" s="96">
        <f t="shared" si="75"/>
        <v>0</v>
      </c>
    </row>
    <row r="1443" spans="1:9">
      <c r="A1443" s="90"/>
      <c r="B1443" s="91"/>
      <c r="C1443" s="89"/>
      <c r="D1443" s="112"/>
      <c r="E1443" s="112"/>
      <c r="F1443" s="112"/>
      <c r="G1443" s="96"/>
      <c r="H1443" s="96"/>
      <c r="I1443" s="96"/>
    </row>
    <row r="1444" spans="1:9">
      <c r="A1444" s="90"/>
      <c r="B1444" s="91"/>
      <c r="C1444" s="89"/>
      <c r="D1444" s="112"/>
      <c r="E1444" s="112"/>
      <c r="F1444" s="112"/>
      <c r="G1444" s="96"/>
      <c r="H1444" s="96"/>
      <c r="I1444" s="96"/>
    </row>
    <row r="1445" spans="1:9">
      <c r="A1445" s="90">
        <f>SUM(A1435:A1444)</f>
        <v>15</v>
      </c>
      <c r="B1445" s="91"/>
      <c r="C1445" s="74" t="str">
        <f>IF(B1445&lt;1,"-",VLOOKUP(B1445,HARGA01,2))</f>
        <v>-</v>
      </c>
      <c r="D1445" s="74"/>
      <c r="E1445" s="74"/>
      <c r="F1445" s="74"/>
      <c r="G1445" s="74"/>
      <c r="H1445" s="96" t="str">
        <f>IF(B1445&lt;1,"-",VLOOKUP(B1445,HARGA01,3))</f>
        <v>-</v>
      </c>
      <c r="I1445" s="96" t="str">
        <f>IF(H1445="-","-",A1445*H1445)</f>
        <v>-</v>
      </c>
    </row>
    <row r="1446" spans="1:9">
      <c r="A1446" s="634" t="s">
        <v>23</v>
      </c>
      <c r="B1446" s="635"/>
      <c r="C1446" s="634"/>
      <c r="D1446" s="634"/>
      <c r="E1446" s="634"/>
      <c r="F1446" s="634"/>
      <c r="G1446" s="634"/>
      <c r="H1446" s="636"/>
      <c r="I1446" s="96">
        <f>SUM(I1435:I1445)</f>
        <v>13188000</v>
      </c>
    </row>
    <row r="1447" spans="1:9">
      <c r="A1447" s="28" t="s">
        <v>24</v>
      </c>
      <c r="B1447" s="28"/>
      <c r="H1447" s="637" t="s">
        <v>25</v>
      </c>
      <c r="I1447" s="637"/>
    </row>
    <row r="1450" spans="1:9">
      <c r="H1450" s="94" t="s">
        <v>27</v>
      </c>
      <c r="I1450" s="25"/>
    </row>
    <row r="1451" spans="1:9" ht="27">
      <c r="A1451" s="2" t="s">
        <v>0</v>
      </c>
      <c r="B1451" s="2"/>
    </row>
    <row r="1452" spans="1:9">
      <c r="A1452" t="s">
        <v>1</v>
      </c>
      <c r="C1452" t="s">
        <v>2</v>
      </c>
      <c r="H1452" t="s">
        <v>3</v>
      </c>
      <c r="I1452" s="73">
        <v>44357</v>
      </c>
    </row>
    <row r="1453" spans="1:9">
      <c r="C1453" t="s">
        <v>4</v>
      </c>
      <c r="H1453" t="s">
        <v>5</v>
      </c>
      <c r="I1453" t="s">
        <v>48</v>
      </c>
    </row>
    <row r="1454" spans="1:9">
      <c r="C1454" t="s">
        <v>7</v>
      </c>
      <c r="H1454" s="86"/>
      <c r="I1454" s="86" t="s">
        <v>49</v>
      </c>
    </row>
    <row r="1455" spans="1:9">
      <c r="A1455" t="s">
        <v>8</v>
      </c>
      <c r="C1455" s="87" t="s">
        <v>9</v>
      </c>
      <c r="D1455" s="87"/>
      <c r="E1455" s="87"/>
      <c r="F1455" s="87"/>
      <c r="G1455" s="87"/>
      <c r="H1455" t="s">
        <v>10</v>
      </c>
      <c r="I1455" s="114" t="s">
        <v>11</v>
      </c>
    </row>
    <row r="1456" spans="1:9">
      <c r="A1456" t="s">
        <v>12</v>
      </c>
      <c r="C1456" t="s">
        <v>13</v>
      </c>
      <c r="H1456" t="s">
        <v>14</v>
      </c>
      <c r="I1456" t="s">
        <v>11</v>
      </c>
    </row>
    <row r="1457" spans="1:9">
      <c r="A1457" s="88" t="s">
        <v>15</v>
      </c>
      <c r="B1457" s="89"/>
      <c r="C1457" s="74" t="s">
        <v>16</v>
      </c>
      <c r="D1457" s="74" t="s">
        <v>81</v>
      </c>
      <c r="E1457" s="74" t="s">
        <v>82</v>
      </c>
      <c r="F1457" s="74" t="s">
        <v>83</v>
      </c>
      <c r="G1457" s="74" t="s">
        <v>84</v>
      </c>
      <c r="H1457" s="95" t="s">
        <v>85</v>
      </c>
      <c r="I1457" s="95" t="s">
        <v>18</v>
      </c>
    </row>
    <row r="1458" spans="1:9">
      <c r="A1458" s="90">
        <v>15</v>
      </c>
      <c r="B1458" s="91"/>
      <c r="C1458" s="89" t="s">
        <v>100</v>
      </c>
      <c r="D1458" s="112">
        <v>200</v>
      </c>
      <c r="E1458" s="112">
        <v>140</v>
      </c>
      <c r="F1458" s="112">
        <v>20</v>
      </c>
      <c r="G1458" s="96">
        <v>1570</v>
      </c>
      <c r="H1458" s="96">
        <f>G1458*F1458*E1458*D1458/1000</f>
        <v>879200</v>
      </c>
      <c r="I1458" s="96">
        <f t="shared" ref="I1458:I1465" si="76">IF(H1458="-","-",A1458*H1458)</f>
        <v>13188000</v>
      </c>
    </row>
    <row r="1459" spans="1:9">
      <c r="A1459" s="90">
        <v>6</v>
      </c>
      <c r="B1459" s="91"/>
      <c r="C1459" s="89" t="s">
        <v>100</v>
      </c>
      <c r="D1459" s="112">
        <v>200</v>
      </c>
      <c r="E1459" s="112">
        <v>140</v>
      </c>
      <c r="F1459" s="112">
        <v>15</v>
      </c>
      <c r="G1459" s="96">
        <v>1570</v>
      </c>
      <c r="H1459" s="96">
        <f>G1459*F1459*E1459*D1459/1000</f>
        <v>659400</v>
      </c>
      <c r="I1459" s="96">
        <f t="shared" si="76"/>
        <v>3956400</v>
      </c>
    </row>
    <row r="1460" spans="1:9">
      <c r="A1460" s="90"/>
      <c r="B1460" s="91"/>
      <c r="C1460" s="89"/>
      <c r="D1460" s="112"/>
      <c r="E1460" s="112"/>
      <c r="F1460" s="112"/>
      <c r="G1460" s="96"/>
      <c r="H1460" s="96"/>
      <c r="I1460" s="96">
        <f t="shared" si="76"/>
        <v>0</v>
      </c>
    </row>
    <row r="1461" spans="1:9">
      <c r="A1461" s="90"/>
      <c r="B1461" s="91"/>
      <c r="C1461" s="89"/>
      <c r="D1461" s="112"/>
      <c r="E1461" s="112"/>
      <c r="F1461" s="112"/>
      <c r="G1461" s="96"/>
      <c r="H1461" s="96"/>
      <c r="I1461" s="96">
        <f t="shared" si="76"/>
        <v>0</v>
      </c>
    </row>
    <row r="1462" spans="1:9">
      <c r="A1462" s="90"/>
      <c r="B1462" s="91"/>
      <c r="C1462" s="89"/>
      <c r="D1462" s="112"/>
      <c r="E1462" s="112"/>
      <c r="F1462" s="112"/>
      <c r="G1462" s="96"/>
      <c r="H1462" s="96"/>
      <c r="I1462" s="96">
        <f t="shared" si="76"/>
        <v>0</v>
      </c>
    </row>
    <row r="1463" spans="1:9">
      <c r="A1463" s="90"/>
      <c r="B1463" s="91"/>
      <c r="C1463" s="89"/>
      <c r="D1463" s="112"/>
      <c r="E1463" s="112"/>
      <c r="F1463" s="112"/>
      <c r="G1463" s="96"/>
      <c r="H1463" s="96"/>
      <c r="I1463" s="96">
        <f t="shared" si="76"/>
        <v>0</v>
      </c>
    </row>
    <row r="1464" spans="1:9">
      <c r="A1464" s="90"/>
      <c r="B1464" s="91"/>
      <c r="C1464" s="89"/>
      <c r="D1464" s="112"/>
      <c r="E1464" s="112"/>
      <c r="F1464" s="112"/>
      <c r="G1464" s="96"/>
      <c r="H1464" s="96"/>
      <c r="I1464" s="96">
        <f t="shared" si="76"/>
        <v>0</v>
      </c>
    </row>
    <row r="1465" spans="1:9">
      <c r="A1465" s="90"/>
      <c r="B1465" s="91"/>
      <c r="C1465" s="89"/>
      <c r="D1465" s="112"/>
      <c r="E1465" s="112"/>
      <c r="F1465" s="112"/>
      <c r="G1465" s="96"/>
      <c r="H1465" s="96"/>
      <c r="I1465" s="96">
        <f t="shared" si="76"/>
        <v>0</v>
      </c>
    </row>
    <row r="1466" spans="1:9">
      <c r="A1466" s="90"/>
      <c r="B1466" s="91"/>
      <c r="C1466" s="89"/>
      <c r="D1466" s="112"/>
      <c r="E1466" s="112"/>
      <c r="F1466" s="112"/>
      <c r="G1466" s="96"/>
      <c r="H1466" s="96"/>
      <c r="I1466" s="96"/>
    </row>
    <row r="1467" spans="1:9">
      <c r="A1467" s="90"/>
      <c r="B1467" s="91"/>
      <c r="C1467" s="89"/>
      <c r="D1467" s="112"/>
      <c r="E1467" s="112"/>
      <c r="F1467" s="112"/>
      <c r="G1467" s="96"/>
      <c r="H1467" s="96"/>
      <c r="I1467" s="96"/>
    </row>
    <row r="1468" spans="1:9">
      <c r="A1468" s="90">
        <f>SUM(A1458:A1467)</f>
        <v>21</v>
      </c>
      <c r="B1468" s="91"/>
      <c r="C1468" s="74" t="str">
        <f>IF(B1468&lt;1,"-",VLOOKUP(B1468,HARGA01,2))</f>
        <v>-</v>
      </c>
      <c r="D1468" s="74"/>
      <c r="E1468" s="74"/>
      <c r="F1468" s="74"/>
      <c r="G1468" s="74"/>
      <c r="H1468" s="96" t="str">
        <f>IF(B1468&lt;1,"-",VLOOKUP(B1468,HARGA01,3))</f>
        <v>-</v>
      </c>
      <c r="I1468" s="96" t="str">
        <f>IF(H1468="-","-",A1468*H1468)</f>
        <v>-</v>
      </c>
    </row>
    <row r="1469" spans="1:9">
      <c r="A1469" s="634" t="s">
        <v>23</v>
      </c>
      <c r="B1469" s="635"/>
      <c r="C1469" s="634"/>
      <c r="D1469" s="634"/>
      <c r="E1469" s="634"/>
      <c r="F1469" s="634"/>
      <c r="G1469" s="634"/>
      <c r="H1469" s="636"/>
      <c r="I1469" s="96">
        <f>SUM(I1458:I1468)</f>
        <v>17144400</v>
      </c>
    </row>
    <row r="1470" spans="1:9">
      <c r="A1470" s="28" t="s">
        <v>24</v>
      </c>
      <c r="B1470" s="28"/>
      <c r="H1470" s="637" t="s">
        <v>25</v>
      </c>
      <c r="I1470" s="637"/>
    </row>
    <row r="1473" spans="1:9">
      <c r="H1473" s="94" t="s">
        <v>27</v>
      </c>
      <c r="I1473" s="25"/>
    </row>
    <row r="1474" spans="1:9" ht="27">
      <c r="A1474" s="2" t="s">
        <v>0</v>
      </c>
      <c r="B1474" s="2"/>
    </row>
    <row r="1475" spans="1:9">
      <c r="A1475" t="s">
        <v>1</v>
      </c>
      <c r="C1475" t="s">
        <v>2</v>
      </c>
      <c r="H1475" t="s">
        <v>3</v>
      </c>
      <c r="I1475" s="73">
        <v>44357</v>
      </c>
    </row>
    <row r="1476" spans="1:9">
      <c r="C1476" t="s">
        <v>4</v>
      </c>
      <c r="H1476" t="s">
        <v>5</v>
      </c>
      <c r="I1476" t="s">
        <v>48</v>
      </c>
    </row>
    <row r="1477" spans="1:9">
      <c r="C1477" t="s">
        <v>7</v>
      </c>
      <c r="H1477" s="86"/>
      <c r="I1477" s="86" t="s">
        <v>49</v>
      </c>
    </row>
    <row r="1478" spans="1:9">
      <c r="A1478" t="s">
        <v>8</v>
      </c>
      <c r="C1478" s="87" t="s">
        <v>9</v>
      </c>
      <c r="D1478" s="87"/>
      <c r="E1478" s="87"/>
      <c r="F1478" s="87"/>
      <c r="G1478" s="87"/>
      <c r="H1478" t="s">
        <v>10</v>
      </c>
      <c r="I1478" s="114" t="s">
        <v>11</v>
      </c>
    </row>
    <row r="1479" spans="1:9">
      <c r="A1479" t="s">
        <v>12</v>
      </c>
      <c r="C1479" t="s">
        <v>13</v>
      </c>
      <c r="H1479" t="s">
        <v>14</v>
      </c>
      <c r="I1479" t="s">
        <v>11</v>
      </c>
    </row>
    <row r="1480" spans="1:9">
      <c r="A1480" s="88" t="s">
        <v>15</v>
      </c>
      <c r="B1480" s="89"/>
      <c r="C1480" s="74" t="s">
        <v>16</v>
      </c>
      <c r="D1480" s="74" t="s">
        <v>81</v>
      </c>
      <c r="E1480" s="74" t="s">
        <v>82</v>
      </c>
      <c r="F1480" s="74" t="s">
        <v>83</v>
      </c>
      <c r="G1480" s="74" t="s">
        <v>84</v>
      </c>
      <c r="H1480" s="95" t="s">
        <v>85</v>
      </c>
      <c r="I1480" s="95" t="s">
        <v>18</v>
      </c>
    </row>
    <row r="1481" spans="1:9">
      <c r="A1481" s="90">
        <v>6</v>
      </c>
      <c r="B1481" s="91"/>
      <c r="C1481" s="89" t="s">
        <v>132</v>
      </c>
      <c r="D1481" s="112"/>
      <c r="E1481" s="112"/>
      <c r="F1481" s="112"/>
      <c r="G1481" s="96"/>
      <c r="H1481" s="96">
        <v>200000</v>
      </c>
      <c r="I1481" s="96">
        <f t="shared" ref="I1481:I1488" si="77">IF(H1481="-","-",A1481*H1481)</f>
        <v>1200000</v>
      </c>
    </row>
    <row r="1482" spans="1:9">
      <c r="A1482" s="90">
        <v>6</v>
      </c>
      <c r="B1482" s="91"/>
      <c r="C1482" s="89" t="s">
        <v>133</v>
      </c>
      <c r="D1482" s="112"/>
      <c r="E1482" s="112"/>
      <c r="F1482" s="112"/>
      <c r="G1482" s="96"/>
      <c r="H1482" s="96">
        <v>245000</v>
      </c>
      <c r="I1482" s="96">
        <f t="shared" si="77"/>
        <v>1470000</v>
      </c>
    </row>
    <row r="1483" spans="1:9">
      <c r="A1483" s="90">
        <v>3</v>
      </c>
      <c r="B1483" s="91"/>
      <c r="C1483" s="89" t="s">
        <v>118</v>
      </c>
      <c r="D1483" s="112"/>
      <c r="E1483" s="112"/>
      <c r="F1483" s="112"/>
      <c r="G1483" s="96"/>
      <c r="H1483" s="96">
        <v>260000</v>
      </c>
      <c r="I1483" s="96">
        <f t="shared" si="77"/>
        <v>780000</v>
      </c>
    </row>
    <row r="1484" spans="1:9">
      <c r="A1484" s="90"/>
      <c r="B1484" s="91"/>
      <c r="C1484" s="89"/>
      <c r="D1484" s="112"/>
      <c r="E1484" s="112"/>
      <c r="F1484" s="112"/>
      <c r="G1484" s="96"/>
      <c r="H1484" s="96"/>
      <c r="I1484" s="96">
        <f t="shared" si="77"/>
        <v>0</v>
      </c>
    </row>
    <row r="1485" spans="1:9">
      <c r="A1485" s="90"/>
      <c r="B1485" s="91"/>
      <c r="C1485" s="89"/>
      <c r="D1485" s="112"/>
      <c r="E1485" s="112"/>
      <c r="F1485" s="112"/>
      <c r="G1485" s="96"/>
      <c r="H1485" s="96"/>
      <c r="I1485" s="96">
        <f t="shared" si="77"/>
        <v>0</v>
      </c>
    </row>
    <row r="1486" spans="1:9">
      <c r="A1486" s="90"/>
      <c r="B1486" s="91"/>
      <c r="C1486" s="89"/>
      <c r="D1486" s="112"/>
      <c r="E1486" s="112"/>
      <c r="F1486" s="112"/>
      <c r="G1486" s="96"/>
      <c r="H1486" s="96"/>
      <c r="I1486" s="96">
        <f t="shared" si="77"/>
        <v>0</v>
      </c>
    </row>
    <row r="1487" spans="1:9">
      <c r="A1487" s="90"/>
      <c r="B1487" s="91"/>
      <c r="C1487" s="89"/>
      <c r="D1487" s="112"/>
      <c r="E1487" s="112"/>
      <c r="F1487" s="112"/>
      <c r="G1487" s="96"/>
      <c r="H1487" s="96"/>
      <c r="I1487" s="96">
        <f t="shared" si="77"/>
        <v>0</v>
      </c>
    </row>
    <row r="1488" spans="1:9">
      <c r="A1488" s="90"/>
      <c r="B1488" s="91"/>
      <c r="C1488" s="89"/>
      <c r="D1488" s="112"/>
      <c r="E1488" s="112"/>
      <c r="F1488" s="112"/>
      <c r="G1488" s="96"/>
      <c r="H1488" s="96"/>
      <c r="I1488" s="96">
        <f t="shared" si="77"/>
        <v>0</v>
      </c>
    </row>
    <row r="1489" spans="1:9">
      <c r="A1489" s="90"/>
      <c r="B1489" s="91"/>
      <c r="C1489" s="89"/>
      <c r="D1489" s="112"/>
      <c r="E1489" s="112"/>
      <c r="F1489" s="112"/>
      <c r="G1489" s="96"/>
      <c r="H1489" s="96"/>
      <c r="I1489" s="96"/>
    </row>
    <row r="1490" spans="1:9">
      <c r="A1490" s="90"/>
      <c r="B1490" s="91"/>
      <c r="C1490" s="89"/>
      <c r="D1490" s="112"/>
      <c r="E1490" s="112"/>
      <c r="F1490" s="112"/>
      <c r="G1490" s="96"/>
      <c r="H1490" s="96"/>
      <c r="I1490" s="96"/>
    </row>
    <row r="1491" spans="1:9">
      <c r="A1491" s="90">
        <f>SUM(A1481:A1490)</f>
        <v>15</v>
      </c>
      <c r="B1491" s="91"/>
      <c r="C1491" s="74" t="str">
        <f>IF(B1491&lt;1,"-",VLOOKUP(B1491,HARGA01,2))</f>
        <v>-</v>
      </c>
      <c r="D1491" s="74"/>
      <c r="E1491" s="74"/>
      <c r="F1491" s="74"/>
      <c r="G1491" s="74"/>
      <c r="H1491" s="96" t="str">
        <f>IF(B1491&lt;1,"-",VLOOKUP(B1491,HARGA01,3))</f>
        <v>-</v>
      </c>
      <c r="I1491" s="96" t="str">
        <f>IF(H1491="-","-",A1491*H1491)</f>
        <v>-</v>
      </c>
    </row>
    <row r="1492" spans="1:9">
      <c r="A1492" s="634" t="s">
        <v>23</v>
      </c>
      <c r="B1492" s="635"/>
      <c r="C1492" s="634"/>
      <c r="D1492" s="634"/>
      <c r="E1492" s="634"/>
      <c r="F1492" s="634"/>
      <c r="G1492" s="634"/>
      <c r="H1492" s="636"/>
      <c r="I1492" s="96">
        <f>SUM(I1481:I1491)</f>
        <v>3450000</v>
      </c>
    </row>
    <row r="1493" spans="1:9">
      <c r="A1493" s="28" t="s">
        <v>24</v>
      </c>
      <c r="B1493" s="28"/>
      <c r="H1493" s="637" t="s">
        <v>25</v>
      </c>
      <c r="I1493" s="637"/>
    </row>
    <row r="1496" spans="1:9">
      <c r="H1496" s="94" t="s">
        <v>27</v>
      </c>
      <c r="I1496" s="25"/>
    </row>
    <row r="1497" spans="1:9" ht="27">
      <c r="A1497" s="2" t="s">
        <v>0</v>
      </c>
      <c r="B1497" s="2"/>
    </row>
    <row r="1498" spans="1:9">
      <c r="A1498" t="s">
        <v>1</v>
      </c>
      <c r="C1498" t="s">
        <v>2</v>
      </c>
      <c r="H1498" t="s">
        <v>3</v>
      </c>
      <c r="I1498" s="73">
        <v>44359</v>
      </c>
    </row>
    <row r="1499" spans="1:9">
      <c r="C1499" t="s">
        <v>4</v>
      </c>
      <c r="H1499" t="s">
        <v>5</v>
      </c>
      <c r="I1499" t="s">
        <v>48</v>
      </c>
    </row>
    <row r="1500" spans="1:9">
      <c r="C1500" t="s">
        <v>7</v>
      </c>
      <c r="H1500" s="86"/>
      <c r="I1500" s="86" t="s">
        <v>49</v>
      </c>
    </row>
    <row r="1501" spans="1:9">
      <c r="A1501" t="s">
        <v>8</v>
      </c>
      <c r="C1501" s="87" t="s">
        <v>9</v>
      </c>
      <c r="D1501" s="87"/>
      <c r="E1501" s="87"/>
      <c r="F1501" s="87"/>
      <c r="G1501" s="87"/>
      <c r="H1501" t="s">
        <v>10</v>
      </c>
      <c r="I1501" s="114" t="s">
        <v>11</v>
      </c>
    </row>
    <row r="1502" spans="1:9">
      <c r="A1502" t="s">
        <v>12</v>
      </c>
      <c r="C1502" t="s">
        <v>13</v>
      </c>
      <c r="H1502" t="s">
        <v>14</v>
      </c>
      <c r="I1502" t="s">
        <v>11</v>
      </c>
    </row>
    <row r="1503" spans="1:9">
      <c r="A1503" s="88" t="s">
        <v>15</v>
      </c>
      <c r="B1503" s="89"/>
      <c r="C1503" s="74" t="s">
        <v>16</v>
      </c>
      <c r="D1503" s="74" t="s">
        <v>81</v>
      </c>
      <c r="E1503" s="74" t="s">
        <v>82</v>
      </c>
      <c r="F1503" s="74" t="s">
        <v>83</v>
      </c>
      <c r="G1503" s="74" t="s">
        <v>84</v>
      </c>
      <c r="H1503" s="95" t="s">
        <v>85</v>
      </c>
      <c r="I1503" s="95" t="s">
        <v>18</v>
      </c>
    </row>
    <row r="1504" spans="1:9">
      <c r="A1504" s="90">
        <v>15</v>
      </c>
      <c r="B1504" s="91"/>
      <c r="C1504" s="89" t="s">
        <v>134</v>
      </c>
      <c r="D1504" s="112">
        <v>200</v>
      </c>
      <c r="E1504" s="112">
        <v>120</v>
      </c>
      <c r="F1504" s="112">
        <v>20</v>
      </c>
      <c r="G1504" s="96">
        <v>1648</v>
      </c>
      <c r="H1504" s="96">
        <f>D1504*E1504*F1504*G1504/1000</f>
        <v>791040</v>
      </c>
      <c r="I1504" s="96">
        <f t="shared" ref="I1504:I1511" si="78">IF(H1504="-","-",A1504*H1504)</f>
        <v>11865600</v>
      </c>
    </row>
    <row r="1505" spans="1:9">
      <c r="A1505" s="90"/>
      <c r="B1505" s="91"/>
      <c r="C1505" s="89"/>
      <c r="D1505" s="112"/>
      <c r="E1505" s="112"/>
      <c r="F1505" s="112"/>
      <c r="G1505" s="96"/>
      <c r="H1505" s="96"/>
      <c r="I1505" s="96">
        <f t="shared" si="78"/>
        <v>0</v>
      </c>
    </row>
    <row r="1506" spans="1:9">
      <c r="A1506" s="90"/>
      <c r="B1506" s="91"/>
      <c r="C1506" s="89"/>
      <c r="D1506" s="112"/>
      <c r="E1506" s="112"/>
      <c r="F1506" s="112"/>
      <c r="G1506" s="96"/>
      <c r="H1506" s="96"/>
      <c r="I1506" s="96">
        <f t="shared" si="78"/>
        <v>0</v>
      </c>
    </row>
    <row r="1507" spans="1:9">
      <c r="A1507" s="90"/>
      <c r="B1507" s="91"/>
      <c r="C1507" s="89"/>
      <c r="D1507" s="112"/>
      <c r="E1507" s="112"/>
      <c r="F1507" s="112"/>
      <c r="G1507" s="96"/>
      <c r="H1507" s="96"/>
      <c r="I1507" s="96">
        <f t="shared" si="78"/>
        <v>0</v>
      </c>
    </row>
    <row r="1508" spans="1:9">
      <c r="A1508" s="90"/>
      <c r="B1508" s="91"/>
      <c r="C1508" s="89"/>
      <c r="D1508" s="112"/>
      <c r="E1508" s="112"/>
      <c r="F1508" s="112"/>
      <c r="G1508" s="96"/>
      <c r="H1508" s="96"/>
      <c r="I1508" s="96">
        <f t="shared" si="78"/>
        <v>0</v>
      </c>
    </row>
    <row r="1509" spans="1:9">
      <c r="A1509" s="90"/>
      <c r="B1509" s="91"/>
      <c r="C1509" s="89"/>
      <c r="D1509" s="112"/>
      <c r="E1509" s="112"/>
      <c r="F1509" s="112"/>
      <c r="G1509" s="96"/>
      <c r="H1509" s="96"/>
      <c r="I1509" s="96">
        <f t="shared" si="78"/>
        <v>0</v>
      </c>
    </row>
    <row r="1510" spans="1:9">
      <c r="A1510" s="90"/>
      <c r="B1510" s="91"/>
      <c r="C1510" s="89"/>
      <c r="D1510" s="112"/>
      <c r="E1510" s="112"/>
      <c r="F1510" s="112"/>
      <c r="G1510" s="96"/>
      <c r="H1510" s="96"/>
      <c r="I1510" s="96">
        <f t="shared" si="78"/>
        <v>0</v>
      </c>
    </row>
    <row r="1511" spans="1:9">
      <c r="A1511" s="90"/>
      <c r="B1511" s="91"/>
      <c r="C1511" s="89"/>
      <c r="D1511" s="112"/>
      <c r="E1511" s="112"/>
      <c r="F1511" s="112"/>
      <c r="G1511" s="96"/>
      <c r="H1511" s="96"/>
      <c r="I1511" s="96">
        <f t="shared" si="78"/>
        <v>0</v>
      </c>
    </row>
    <row r="1512" spans="1:9">
      <c r="A1512" s="90"/>
      <c r="B1512" s="91"/>
      <c r="C1512" s="89"/>
      <c r="D1512" s="112"/>
      <c r="E1512" s="112"/>
      <c r="F1512" s="112"/>
      <c r="G1512" s="96"/>
      <c r="H1512" s="96"/>
      <c r="I1512" s="96"/>
    </row>
    <row r="1513" spans="1:9">
      <c r="A1513" s="90"/>
      <c r="B1513" s="91"/>
      <c r="C1513" s="89"/>
      <c r="D1513" s="112"/>
      <c r="E1513" s="112"/>
      <c r="F1513" s="112"/>
      <c r="G1513" s="96"/>
      <c r="H1513" s="96"/>
      <c r="I1513" s="96"/>
    </row>
    <row r="1514" spans="1:9">
      <c r="A1514" s="90">
        <f>SUM(A1504:A1513)</f>
        <v>15</v>
      </c>
      <c r="B1514" s="91"/>
      <c r="C1514" s="74" t="str">
        <f>IF(B1514&lt;1,"-",VLOOKUP(B1514,HARGA01,2))</f>
        <v>-</v>
      </c>
      <c r="D1514" s="74"/>
      <c r="E1514" s="74"/>
      <c r="F1514" s="74"/>
      <c r="G1514" s="74"/>
      <c r="H1514" s="96" t="str">
        <f>IF(B1514&lt;1,"-",VLOOKUP(B1514,HARGA01,3))</f>
        <v>-</v>
      </c>
      <c r="I1514" s="96" t="str">
        <f>IF(H1514="-","-",A1514*H1514)</f>
        <v>-</v>
      </c>
    </row>
    <row r="1515" spans="1:9">
      <c r="A1515" s="634" t="s">
        <v>23</v>
      </c>
      <c r="B1515" s="635"/>
      <c r="C1515" s="634"/>
      <c r="D1515" s="634"/>
      <c r="E1515" s="634"/>
      <c r="F1515" s="634"/>
      <c r="G1515" s="634"/>
      <c r="H1515" s="636"/>
      <c r="I1515" s="96">
        <f>SUM(I1504:I1514)</f>
        <v>11865600</v>
      </c>
    </row>
    <row r="1516" spans="1:9">
      <c r="A1516" s="28" t="s">
        <v>24</v>
      </c>
      <c r="B1516" s="28"/>
      <c r="H1516" s="637" t="s">
        <v>25</v>
      </c>
      <c r="I1516" s="637"/>
    </row>
    <row r="1519" spans="1:9">
      <c r="H1519" s="94" t="s">
        <v>27</v>
      </c>
      <c r="I1519" s="25"/>
    </row>
    <row r="1520" spans="1:9" ht="27">
      <c r="A1520" s="2" t="s">
        <v>0</v>
      </c>
      <c r="B1520" s="2"/>
    </row>
    <row r="1521" spans="1:9">
      <c r="A1521" t="s">
        <v>1</v>
      </c>
      <c r="C1521" t="s">
        <v>2</v>
      </c>
      <c r="H1521" t="s">
        <v>3</v>
      </c>
      <c r="I1521" s="73">
        <v>44362</v>
      </c>
    </row>
    <row r="1522" spans="1:9">
      <c r="C1522" t="s">
        <v>4</v>
      </c>
      <c r="H1522" t="s">
        <v>5</v>
      </c>
      <c r="I1522" t="s">
        <v>48</v>
      </c>
    </row>
    <row r="1523" spans="1:9">
      <c r="C1523" t="s">
        <v>7</v>
      </c>
      <c r="H1523" s="86"/>
      <c r="I1523" s="86" t="s">
        <v>49</v>
      </c>
    </row>
    <row r="1524" spans="1:9">
      <c r="A1524" t="s">
        <v>8</v>
      </c>
      <c r="C1524" s="87" t="s">
        <v>9</v>
      </c>
      <c r="D1524" s="87"/>
      <c r="E1524" s="87"/>
      <c r="F1524" s="87"/>
      <c r="G1524" s="87"/>
      <c r="H1524" t="s">
        <v>10</v>
      </c>
      <c r="I1524" s="114" t="s">
        <v>11</v>
      </c>
    </row>
    <row r="1525" spans="1:9">
      <c r="A1525" t="s">
        <v>12</v>
      </c>
      <c r="C1525" t="s">
        <v>13</v>
      </c>
      <c r="H1525" t="s">
        <v>14</v>
      </c>
      <c r="I1525" t="s">
        <v>11</v>
      </c>
    </row>
    <row r="1526" spans="1:9">
      <c r="A1526" s="88" t="s">
        <v>15</v>
      </c>
      <c r="B1526" s="89"/>
      <c r="C1526" s="74" t="s">
        <v>16</v>
      </c>
      <c r="D1526" s="74" t="s">
        <v>81</v>
      </c>
      <c r="E1526" s="74" t="s">
        <v>82</v>
      </c>
      <c r="F1526" s="74" t="s">
        <v>83</v>
      </c>
      <c r="G1526" s="74" t="s">
        <v>84</v>
      </c>
      <c r="H1526" s="95" t="s">
        <v>85</v>
      </c>
      <c r="I1526" s="95" t="s">
        <v>18</v>
      </c>
    </row>
    <row r="1527" spans="1:9">
      <c r="A1527" s="90">
        <v>10</v>
      </c>
      <c r="B1527" s="91"/>
      <c r="C1527" s="89" t="s">
        <v>134</v>
      </c>
      <c r="D1527" s="112">
        <v>200</v>
      </c>
      <c r="E1527" s="112">
        <v>160</v>
      </c>
      <c r="F1527" s="112">
        <v>20</v>
      </c>
      <c r="G1527" s="96">
        <v>1648</v>
      </c>
      <c r="H1527" s="96">
        <f>D1527*E1527*F1527*G1527/1000</f>
        <v>1054720</v>
      </c>
      <c r="I1527" s="96">
        <f t="shared" ref="I1527:I1534" si="79">IF(H1527="-","-",A1527*H1527)</f>
        <v>10547200</v>
      </c>
    </row>
    <row r="1528" spans="1:9">
      <c r="A1528" s="90"/>
      <c r="B1528" s="91"/>
      <c r="C1528" s="89"/>
      <c r="D1528" s="112"/>
      <c r="E1528" s="112"/>
      <c r="F1528" s="112"/>
      <c r="G1528" s="96"/>
      <c r="H1528" s="96"/>
      <c r="I1528" s="96">
        <f t="shared" si="79"/>
        <v>0</v>
      </c>
    </row>
    <row r="1529" spans="1:9">
      <c r="A1529" s="90"/>
      <c r="B1529" s="91"/>
      <c r="C1529" s="89"/>
      <c r="D1529" s="112"/>
      <c r="E1529" s="112"/>
      <c r="F1529" s="112"/>
      <c r="G1529" s="96"/>
      <c r="H1529" s="96"/>
      <c r="I1529" s="96">
        <f t="shared" si="79"/>
        <v>0</v>
      </c>
    </row>
    <row r="1530" spans="1:9">
      <c r="A1530" s="90"/>
      <c r="B1530" s="91"/>
      <c r="C1530" s="89"/>
      <c r="D1530" s="112"/>
      <c r="E1530" s="112"/>
      <c r="F1530" s="112"/>
      <c r="G1530" s="96"/>
      <c r="H1530" s="96"/>
      <c r="I1530" s="96">
        <f t="shared" si="79"/>
        <v>0</v>
      </c>
    </row>
    <row r="1531" spans="1:9">
      <c r="A1531" s="90"/>
      <c r="B1531" s="91"/>
      <c r="C1531" s="89"/>
      <c r="D1531" s="112"/>
      <c r="E1531" s="112"/>
      <c r="F1531" s="112"/>
      <c r="G1531" s="96"/>
      <c r="H1531" s="96"/>
      <c r="I1531" s="96">
        <f t="shared" si="79"/>
        <v>0</v>
      </c>
    </row>
    <row r="1532" spans="1:9">
      <c r="A1532" s="90"/>
      <c r="B1532" s="91"/>
      <c r="C1532" s="89"/>
      <c r="D1532" s="112"/>
      <c r="E1532" s="112"/>
      <c r="F1532" s="112"/>
      <c r="G1532" s="96"/>
      <c r="H1532" s="96"/>
      <c r="I1532" s="96">
        <f t="shared" si="79"/>
        <v>0</v>
      </c>
    </row>
    <row r="1533" spans="1:9">
      <c r="A1533" s="90"/>
      <c r="B1533" s="91"/>
      <c r="C1533" s="89"/>
      <c r="D1533" s="112"/>
      <c r="E1533" s="112"/>
      <c r="F1533" s="112"/>
      <c r="G1533" s="96"/>
      <c r="H1533" s="96"/>
      <c r="I1533" s="96">
        <f t="shared" si="79"/>
        <v>0</v>
      </c>
    </row>
    <row r="1534" spans="1:9">
      <c r="A1534" s="90"/>
      <c r="B1534" s="91"/>
      <c r="C1534" s="89"/>
      <c r="D1534" s="112"/>
      <c r="E1534" s="112"/>
      <c r="F1534" s="112"/>
      <c r="G1534" s="96"/>
      <c r="H1534" s="96"/>
      <c r="I1534" s="96">
        <f t="shared" si="79"/>
        <v>0</v>
      </c>
    </row>
    <row r="1535" spans="1:9">
      <c r="A1535" s="90"/>
      <c r="B1535" s="91"/>
      <c r="C1535" s="89"/>
      <c r="D1535" s="112"/>
      <c r="E1535" s="112"/>
      <c r="F1535" s="112"/>
      <c r="G1535" s="96"/>
      <c r="H1535" s="96"/>
      <c r="I1535" s="96"/>
    </row>
    <row r="1536" spans="1:9">
      <c r="A1536" s="90"/>
      <c r="B1536" s="91"/>
      <c r="C1536" s="89"/>
      <c r="D1536" s="112"/>
      <c r="E1536" s="112"/>
      <c r="F1536" s="112"/>
      <c r="G1536" s="96"/>
      <c r="H1536" s="96"/>
      <c r="I1536" s="96"/>
    </row>
    <row r="1537" spans="1:9">
      <c r="A1537" s="90">
        <f>SUM(A1527:A1536)</f>
        <v>10</v>
      </c>
      <c r="B1537" s="91"/>
      <c r="C1537" s="74" t="str">
        <f>IF(B1537&lt;1,"-",VLOOKUP(B1537,HARGA01,2))</f>
        <v>-</v>
      </c>
      <c r="D1537" s="74"/>
      <c r="E1537" s="74"/>
      <c r="F1537" s="74"/>
      <c r="G1537" s="74"/>
      <c r="H1537" s="96" t="str">
        <f>IF(B1537&lt;1,"-",VLOOKUP(B1537,HARGA01,3))</f>
        <v>-</v>
      </c>
      <c r="I1537" s="96" t="str">
        <f>IF(H1537="-","-",A1537*H1537)</f>
        <v>-</v>
      </c>
    </row>
    <row r="1538" spans="1:9">
      <c r="A1538" s="634" t="s">
        <v>23</v>
      </c>
      <c r="B1538" s="635"/>
      <c r="C1538" s="634"/>
      <c r="D1538" s="634"/>
      <c r="E1538" s="634"/>
      <c r="F1538" s="634"/>
      <c r="G1538" s="634"/>
      <c r="H1538" s="636"/>
      <c r="I1538" s="96">
        <f>SUM(I1527:I1537)</f>
        <v>10547200</v>
      </c>
    </row>
    <row r="1539" spans="1:9">
      <c r="A1539" s="28" t="s">
        <v>24</v>
      </c>
      <c r="B1539" s="28"/>
      <c r="H1539" s="637" t="s">
        <v>25</v>
      </c>
      <c r="I1539" s="637"/>
    </row>
    <row r="1542" spans="1:9">
      <c r="H1542" s="94" t="s">
        <v>27</v>
      </c>
      <c r="I1542" s="25"/>
    </row>
    <row r="1543" spans="1:9" ht="27">
      <c r="A1543" s="2" t="s">
        <v>0</v>
      </c>
      <c r="B1543" s="2"/>
    </row>
    <row r="1544" spans="1:9">
      <c r="A1544" t="s">
        <v>1</v>
      </c>
      <c r="C1544" t="s">
        <v>2</v>
      </c>
      <c r="H1544" t="s">
        <v>3</v>
      </c>
      <c r="I1544" s="73">
        <v>44362</v>
      </c>
    </row>
    <row r="1545" spans="1:9">
      <c r="C1545" t="s">
        <v>4</v>
      </c>
      <c r="H1545" t="s">
        <v>5</v>
      </c>
      <c r="I1545" t="s">
        <v>48</v>
      </c>
    </row>
    <row r="1546" spans="1:9">
      <c r="C1546" t="s">
        <v>7</v>
      </c>
      <c r="H1546" s="86"/>
      <c r="I1546" s="86" t="s">
        <v>49</v>
      </c>
    </row>
    <row r="1547" spans="1:9">
      <c r="A1547" t="s">
        <v>8</v>
      </c>
      <c r="C1547" s="87" t="s">
        <v>9</v>
      </c>
      <c r="D1547" s="87"/>
      <c r="E1547" s="87"/>
      <c r="F1547" s="87"/>
      <c r="G1547" s="87"/>
      <c r="H1547" t="s">
        <v>10</v>
      </c>
      <c r="I1547" s="114" t="s">
        <v>11</v>
      </c>
    </row>
    <row r="1548" spans="1:9">
      <c r="A1548" t="s">
        <v>12</v>
      </c>
      <c r="C1548" t="s">
        <v>13</v>
      </c>
      <c r="H1548" t="s">
        <v>14</v>
      </c>
      <c r="I1548" t="s">
        <v>11</v>
      </c>
    </row>
    <row r="1549" spans="1:9">
      <c r="A1549" s="88" t="s">
        <v>15</v>
      </c>
      <c r="B1549" s="89"/>
      <c r="C1549" s="74" t="s">
        <v>16</v>
      </c>
      <c r="D1549" s="74" t="s">
        <v>81</v>
      </c>
      <c r="E1549" s="74" t="s">
        <v>82</v>
      </c>
      <c r="F1549" s="74" t="s">
        <v>83</v>
      </c>
      <c r="G1549" s="74" t="s">
        <v>84</v>
      </c>
      <c r="H1549" s="95" t="s">
        <v>85</v>
      </c>
      <c r="I1549" s="95" t="s">
        <v>18</v>
      </c>
    </row>
    <row r="1550" spans="1:9">
      <c r="A1550" s="90">
        <v>10</v>
      </c>
      <c r="B1550" s="91"/>
      <c r="C1550" s="89" t="s">
        <v>134</v>
      </c>
      <c r="D1550" s="112">
        <v>200</v>
      </c>
      <c r="E1550" s="112">
        <v>160</v>
      </c>
      <c r="F1550" s="112">
        <v>20</v>
      </c>
      <c r="G1550" s="96">
        <v>1648</v>
      </c>
      <c r="H1550" s="96">
        <f>D1550*E1550*F1550*G1550/1000</f>
        <v>1054720</v>
      </c>
      <c r="I1550" s="96">
        <f t="shared" ref="I1550:I1557" si="80">IF(H1550="-","-",A1550*H1550)</f>
        <v>10547200</v>
      </c>
    </row>
    <row r="1551" spans="1:9">
      <c r="A1551" s="90"/>
      <c r="B1551" s="91"/>
      <c r="C1551" s="89"/>
      <c r="D1551" s="112"/>
      <c r="E1551" s="112"/>
      <c r="F1551" s="112"/>
      <c r="G1551" s="96"/>
      <c r="H1551" s="96"/>
      <c r="I1551" s="96">
        <f t="shared" si="80"/>
        <v>0</v>
      </c>
    </row>
    <row r="1552" spans="1:9">
      <c r="A1552" s="90"/>
      <c r="B1552" s="91"/>
      <c r="C1552" s="89"/>
      <c r="D1552" s="112"/>
      <c r="E1552" s="112"/>
      <c r="F1552" s="112"/>
      <c r="G1552" s="96"/>
      <c r="H1552" s="96"/>
      <c r="I1552" s="96">
        <f t="shared" si="80"/>
        <v>0</v>
      </c>
    </row>
    <row r="1553" spans="1:9">
      <c r="A1553" s="90"/>
      <c r="B1553" s="91"/>
      <c r="C1553" s="89"/>
      <c r="D1553" s="112"/>
      <c r="E1553" s="112"/>
      <c r="F1553" s="112"/>
      <c r="G1553" s="96"/>
      <c r="H1553" s="96"/>
      <c r="I1553" s="96">
        <f t="shared" si="80"/>
        <v>0</v>
      </c>
    </row>
    <row r="1554" spans="1:9">
      <c r="A1554" s="90"/>
      <c r="B1554" s="91"/>
      <c r="C1554" s="89"/>
      <c r="D1554" s="112"/>
      <c r="E1554" s="112"/>
      <c r="F1554" s="112"/>
      <c r="G1554" s="96"/>
      <c r="H1554" s="96"/>
      <c r="I1554" s="96">
        <f t="shared" si="80"/>
        <v>0</v>
      </c>
    </row>
    <row r="1555" spans="1:9">
      <c r="A1555" s="90"/>
      <c r="B1555" s="91"/>
      <c r="C1555" s="89"/>
      <c r="D1555" s="112"/>
      <c r="E1555" s="112"/>
      <c r="F1555" s="112"/>
      <c r="G1555" s="96"/>
      <c r="H1555" s="96"/>
      <c r="I1555" s="96">
        <f t="shared" si="80"/>
        <v>0</v>
      </c>
    </row>
    <row r="1556" spans="1:9">
      <c r="A1556" s="90"/>
      <c r="B1556" s="91"/>
      <c r="C1556" s="89"/>
      <c r="D1556" s="112"/>
      <c r="E1556" s="112"/>
      <c r="F1556" s="112"/>
      <c r="G1556" s="96"/>
      <c r="H1556" s="96"/>
      <c r="I1556" s="96">
        <f t="shared" si="80"/>
        <v>0</v>
      </c>
    </row>
    <row r="1557" spans="1:9">
      <c r="A1557" s="90"/>
      <c r="B1557" s="91"/>
      <c r="C1557" s="89"/>
      <c r="D1557" s="112"/>
      <c r="E1557" s="112"/>
      <c r="F1557" s="112"/>
      <c r="G1557" s="96"/>
      <c r="H1557" s="96"/>
      <c r="I1557" s="96">
        <f t="shared" si="80"/>
        <v>0</v>
      </c>
    </row>
    <row r="1558" spans="1:9">
      <c r="A1558" s="90"/>
      <c r="B1558" s="91"/>
      <c r="C1558" s="89"/>
      <c r="D1558" s="112"/>
      <c r="E1558" s="112"/>
      <c r="F1558" s="112"/>
      <c r="G1558" s="96"/>
      <c r="H1558" s="96"/>
      <c r="I1558" s="96"/>
    </row>
    <row r="1559" spans="1:9">
      <c r="A1559" s="90"/>
      <c r="B1559" s="91"/>
      <c r="C1559" s="89"/>
      <c r="D1559" s="112"/>
      <c r="E1559" s="112"/>
      <c r="F1559" s="112"/>
      <c r="G1559" s="96"/>
      <c r="H1559" s="96"/>
      <c r="I1559" s="96"/>
    </row>
    <row r="1560" spans="1:9">
      <c r="A1560" s="90">
        <f>SUM(A1550:A1559)</f>
        <v>10</v>
      </c>
      <c r="B1560" s="91"/>
      <c r="C1560" s="74" t="str">
        <f>IF(B1560&lt;1,"-",VLOOKUP(B1560,HARGA01,2))</f>
        <v>-</v>
      </c>
      <c r="D1560" s="74"/>
      <c r="E1560" s="74"/>
      <c r="F1560" s="74"/>
      <c r="G1560" s="74"/>
      <c r="H1560" s="96" t="str">
        <f>IF(B1560&lt;1,"-",VLOOKUP(B1560,HARGA01,3))</f>
        <v>-</v>
      </c>
      <c r="I1560" s="96" t="str">
        <f>IF(H1560="-","-",A1560*H1560)</f>
        <v>-</v>
      </c>
    </row>
    <row r="1561" spans="1:9">
      <c r="A1561" s="634" t="s">
        <v>23</v>
      </c>
      <c r="B1561" s="635"/>
      <c r="C1561" s="634"/>
      <c r="D1561" s="634"/>
      <c r="E1561" s="634"/>
      <c r="F1561" s="634"/>
      <c r="G1561" s="634"/>
      <c r="H1561" s="636"/>
      <c r="I1561" s="96">
        <f>SUM(I1550:I1560)</f>
        <v>10547200</v>
      </c>
    </row>
    <row r="1562" spans="1:9">
      <c r="A1562" s="28" t="s">
        <v>24</v>
      </c>
      <c r="B1562" s="28"/>
      <c r="H1562" s="637" t="s">
        <v>25</v>
      </c>
      <c r="I1562" s="637"/>
    </row>
    <row r="1565" spans="1:9">
      <c r="H1565" s="94" t="s">
        <v>27</v>
      </c>
      <c r="I1565" s="25"/>
    </row>
    <row r="1566" spans="1:9" ht="27">
      <c r="A1566" s="2" t="s">
        <v>0</v>
      </c>
      <c r="B1566" s="2"/>
    </row>
    <row r="1567" spans="1:9">
      <c r="A1567" t="s">
        <v>1</v>
      </c>
      <c r="C1567" t="s">
        <v>2</v>
      </c>
      <c r="H1567" t="s">
        <v>3</v>
      </c>
      <c r="I1567" s="73">
        <v>44366</v>
      </c>
    </row>
    <row r="1568" spans="1:9">
      <c r="C1568" t="s">
        <v>4</v>
      </c>
      <c r="H1568" t="s">
        <v>5</v>
      </c>
      <c r="I1568" t="s">
        <v>48</v>
      </c>
    </row>
    <row r="1569" spans="1:9">
      <c r="C1569" t="s">
        <v>7</v>
      </c>
      <c r="H1569" s="86"/>
      <c r="I1569" s="86" t="s">
        <v>49</v>
      </c>
    </row>
    <row r="1570" spans="1:9">
      <c r="A1570" t="s">
        <v>8</v>
      </c>
      <c r="C1570" s="87" t="s">
        <v>9</v>
      </c>
      <c r="D1570" s="87"/>
      <c r="E1570" s="87"/>
      <c r="F1570" s="87"/>
      <c r="G1570" s="87"/>
      <c r="H1570" t="s">
        <v>10</v>
      </c>
      <c r="I1570" s="114" t="s">
        <v>11</v>
      </c>
    </row>
    <row r="1571" spans="1:9">
      <c r="A1571" t="s">
        <v>12</v>
      </c>
      <c r="C1571" t="s">
        <v>13</v>
      </c>
      <c r="H1571" t="s">
        <v>14</v>
      </c>
      <c r="I1571" t="s">
        <v>11</v>
      </c>
    </row>
    <row r="1572" spans="1:9">
      <c r="A1572" s="88" t="s">
        <v>15</v>
      </c>
      <c r="B1572" s="89"/>
      <c r="C1572" s="74" t="s">
        <v>16</v>
      </c>
      <c r="D1572" s="74" t="s">
        <v>81</v>
      </c>
      <c r="E1572" s="74" t="s">
        <v>82</v>
      </c>
      <c r="F1572" s="74" t="s">
        <v>83</v>
      </c>
      <c r="G1572" s="74" t="s">
        <v>84</v>
      </c>
      <c r="H1572" s="95" t="s">
        <v>85</v>
      </c>
      <c r="I1572" s="95" t="s">
        <v>18</v>
      </c>
    </row>
    <row r="1573" spans="1:9">
      <c r="A1573" s="90">
        <v>3</v>
      </c>
      <c r="B1573" s="91"/>
      <c r="C1573" s="89" t="s">
        <v>134</v>
      </c>
      <c r="D1573" s="112">
        <v>200</v>
      </c>
      <c r="E1573" s="112">
        <v>180</v>
      </c>
      <c r="F1573" s="112">
        <v>20</v>
      </c>
      <c r="G1573" s="96">
        <v>1648</v>
      </c>
      <c r="H1573" s="96">
        <f>D1573*E1573*F1573*G1573/1000</f>
        <v>1186560</v>
      </c>
      <c r="I1573" s="96">
        <f t="shared" ref="I1573:I1580" si="81">IF(H1573="-","-",A1573*H1573)</f>
        <v>3559680</v>
      </c>
    </row>
    <row r="1574" spans="1:9">
      <c r="A1574" s="90">
        <v>4</v>
      </c>
      <c r="B1574" s="91"/>
      <c r="C1574" s="89" t="s">
        <v>134</v>
      </c>
      <c r="D1574" s="112">
        <v>200</v>
      </c>
      <c r="E1574" s="112">
        <v>140</v>
      </c>
      <c r="F1574" s="112">
        <v>20</v>
      </c>
      <c r="G1574" s="96">
        <v>1648</v>
      </c>
      <c r="H1574" s="96">
        <f>D1574*E1574*F1574*G1574/1000</f>
        <v>922880</v>
      </c>
      <c r="I1574" s="96">
        <f t="shared" si="81"/>
        <v>3691520</v>
      </c>
    </row>
    <row r="1575" spans="1:9">
      <c r="A1575" s="90">
        <v>10</v>
      </c>
      <c r="B1575" s="91"/>
      <c r="C1575" s="89" t="s">
        <v>134</v>
      </c>
      <c r="D1575" s="112">
        <v>200</v>
      </c>
      <c r="E1575" s="112">
        <v>120</v>
      </c>
      <c r="F1575" s="112">
        <v>20</v>
      </c>
      <c r="G1575" s="96">
        <v>1648</v>
      </c>
      <c r="H1575" s="96">
        <f>D1575*E1575*F1575*G1575/1000</f>
        <v>791040</v>
      </c>
      <c r="I1575" s="96">
        <f t="shared" si="81"/>
        <v>7910400</v>
      </c>
    </row>
    <row r="1576" spans="1:9">
      <c r="A1576" s="90">
        <v>20</v>
      </c>
      <c r="B1576" s="91"/>
      <c r="C1576" s="89" t="s">
        <v>135</v>
      </c>
      <c r="D1576" s="112"/>
      <c r="E1576" s="112"/>
      <c r="F1576" s="112"/>
      <c r="G1576" s="96"/>
      <c r="H1576" s="96">
        <v>17000</v>
      </c>
      <c r="I1576" s="96">
        <f t="shared" si="81"/>
        <v>340000</v>
      </c>
    </row>
    <row r="1577" spans="1:9">
      <c r="A1577" s="90">
        <v>20</v>
      </c>
      <c r="B1577" s="91"/>
      <c r="C1577" s="89" t="s">
        <v>136</v>
      </c>
      <c r="D1577" s="112"/>
      <c r="E1577" s="112"/>
      <c r="F1577" s="112"/>
      <c r="G1577" s="96"/>
      <c r="H1577" s="96">
        <v>27000</v>
      </c>
      <c r="I1577" s="96">
        <f t="shared" si="81"/>
        <v>540000</v>
      </c>
    </row>
    <row r="1578" spans="1:9">
      <c r="A1578" s="90"/>
      <c r="B1578" s="91"/>
      <c r="C1578" s="89"/>
      <c r="D1578" s="112"/>
      <c r="E1578" s="112"/>
      <c r="F1578" s="112"/>
      <c r="G1578" s="96"/>
      <c r="H1578" s="96"/>
      <c r="I1578" s="96">
        <f t="shared" si="81"/>
        <v>0</v>
      </c>
    </row>
    <row r="1579" spans="1:9">
      <c r="A1579" s="90"/>
      <c r="B1579" s="91"/>
      <c r="C1579" s="89"/>
      <c r="D1579" s="112"/>
      <c r="E1579" s="112"/>
      <c r="F1579" s="112"/>
      <c r="G1579" s="96"/>
      <c r="H1579" s="96"/>
      <c r="I1579" s="96">
        <f t="shared" si="81"/>
        <v>0</v>
      </c>
    </row>
    <row r="1580" spans="1:9">
      <c r="A1580" s="90"/>
      <c r="B1580" s="91"/>
      <c r="C1580" s="89"/>
      <c r="D1580" s="112"/>
      <c r="E1580" s="112"/>
      <c r="F1580" s="112"/>
      <c r="G1580" s="96"/>
      <c r="H1580" s="96"/>
      <c r="I1580" s="96">
        <f t="shared" si="81"/>
        <v>0</v>
      </c>
    </row>
    <row r="1581" spans="1:9">
      <c r="A1581" s="90"/>
      <c r="B1581" s="91"/>
      <c r="C1581" s="89"/>
      <c r="D1581" s="112"/>
      <c r="E1581" s="112"/>
      <c r="F1581" s="112"/>
      <c r="G1581" s="96"/>
      <c r="H1581" s="96"/>
      <c r="I1581" s="96"/>
    </row>
    <row r="1582" spans="1:9">
      <c r="A1582" s="90"/>
      <c r="B1582" s="91"/>
      <c r="C1582" s="89"/>
      <c r="D1582" s="112"/>
      <c r="E1582" s="112"/>
      <c r="F1582" s="112"/>
      <c r="G1582" s="96"/>
      <c r="H1582" s="96"/>
      <c r="I1582" s="96"/>
    </row>
    <row r="1583" spans="1:9">
      <c r="A1583" s="90">
        <f>SUM(A1573:A1582)</f>
        <v>57</v>
      </c>
      <c r="B1583" s="91"/>
      <c r="C1583" s="74" t="str">
        <f>IF(B1583&lt;1,"-",VLOOKUP(B1583,HARGA01,2))</f>
        <v>-</v>
      </c>
      <c r="D1583" s="74"/>
      <c r="E1583" s="74"/>
      <c r="F1583" s="74"/>
      <c r="G1583" s="74"/>
      <c r="H1583" s="96" t="str">
        <f>IF(B1583&lt;1,"-",VLOOKUP(B1583,HARGA01,3))</f>
        <v>-</v>
      </c>
      <c r="I1583" s="96" t="str">
        <f>IF(H1583="-","-",A1583*H1583)</f>
        <v>-</v>
      </c>
    </row>
    <row r="1584" spans="1:9">
      <c r="A1584" s="634" t="s">
        <v>23</v>
      </c>
      <c r="B1584" s="635"/>
      <c r="C1584" s="634"/>
      <c r="D1584" s="634"/>
      <c r="E1584" s="634"/>
      <c r="F1584" s="634"/>
      <c r="G1584" s="634"/>
      <c r="H1584" s="636"/>
      <c r="I1584" s="96">
        <f>SUM(I1573:I1583)</f>
        <v>16041600</v>
      </c>
    </row>
    <row r="1585" spans="1:9">
      <c r="A1585" s="28" t="s">
        <v>24</v>
      </c>
      <c r="B1585" s="28"/>
      <c r="H1585" s="637" t="s">
        <v>25</v>
      </c>
      <c r="I1585" s="637"/>
    </row>
    <row r="1588" spans="1:9">
      <c r="H1588" s="94" t="s">
        <v>27</v>
      </c>
      <c r="I1588" s="25"/>
    </row>
    <row r="1589" spans="1:9" ht="27">
      <c r="A1589" s="2" t="s">
        <v>0</v>
      </c>
      <c r="B1589" s="2"/>
    </row>
    <row r="1590" spans="1:9">
      <c r="A1590" t="s">
        <v>1</v>
      </c>
      <c r="C1590" t="s">
        <v>2</v>
      </c>
      <c r="H1590" t="s">
        <v>3</v>
      </c>
      <c r="I1590" s="73">
        <v>44369</v>
      </c>
    </row>
    <row r="1591" spans="1:9">
      <c r="C1591" t="s">
        <v>4</v>
      </c>
      <c r="H1591" t="s">
        <v>5</v>
      </c>
      <c r="I1591" t="s">
        <v>48</v>
      </c>
    </row>
    <row r="1592" spans="1:9">
      <c r="C1592" t="s">
        <v>7</v>
      </c>
      <c r="H1592" s="86"/>
      <c r="I1592" s="86" t="s">
        <v>49</v>
      </c>
    </row>
    <row r="1593" spans="1:9">
      <c r="A1593" t="s">
        <v>8</v>
      </c>
      <c r="C1593" s="87" t="s">
        <v>9</v>
      </c>
      <c r="D1593" s="87"/>
      <c r="E1593" s="87"/>
      <c r="F1593" s="87"/>
      <c r="G1593" s="87"/>
      <c r="H1593" t="s">
        <v>10</v>
      </c>
      <c r="I1593" s="114" t="s">
        <v>11</v>
      </c>
    </row>
    <row r="1594" spans="1:9">
      <c r="A1594" t="s">
        <v>12</v>
      </c>
      <c r="C1594" t="s">
        <v>13</v>
      </c>
      <c r="H1594" t="s">
        <v>14</v>
      </c>
      <c r="I1594" t="s">
        <v>11</v>
      </c>
    </row>
    <row r="1595" spans="1:9">
      <c r="A1595" s="88" t="s">
        <v>15</v>
      </c>
      <c r="B1595" s="89"/>
      <c r="C1595" s="74" t="s">
        <v>16</v>
      </c>
      <c r="D1595" s="74" t="s">
        <v>81</v>
      </c>
      <c r="E1595" s="74" t="s">
        <v>82</v>
      </c>
      <c r="F1595" s="74" t="s">
        <v>83</v>
      </c>
      <c r="G1595" s="74" t="s">
        <v>84</v>
      </c>
      <c r="H1595" s="95" t="s">
        <v>85</v>
      </c>
      <c r="I1595" s="95" t="s">
        <v>18</v>
      </c>
    </row>
    <row r="1596" spans="1:9">
      <c r="A1596" s="90">
        <v>10</v>
      </c>
      <c r="B1596" s="91"/>
      <c r="C1596" s="89" t="s">
        <v>116</v>
      </c>
      <c r="D1596" s="112"/>
      <c r="E1596" s="112"/>
      <c r="F1596" s="112"/>
      <c r="G1596" s="96"/>
      <c r="H1596" s="96">
        <v>245000</v>
      </c>
      <c r="I1596" s="96">
        <f t="shared" ref="I1596:I1603" si="82">IF(H1596="-","-",A1596*H1596)</f>
        <v>2450000</v>
      </c>
    </row>
    <row r="1597" spans="1:9">
      <c r="A1597" s="90">
        <v>10</v>
      </c>
      <c r="B1597" s="91"/>
      <c r="C1597" s="89" t="s">
        <v>128</v>
      </c>
      <c r="D1597" s="112"/>
      <c r="E1597" s="112"/>
      <c r="F1597" s="112"/>
      <c r="G1597" s="96"/>
      <c r="H1597" s="96">
        <v>260000</v>
      </c>
      <c r="I1597" s="96">
        <f t="shared" si="82"/>
        <v>2600000</v>
      </c>
    </row>
    <row r="1598" spans="1:9">
      <c r="A1598" s="90"/>
      <c r="B1598" s="91"/>
      <c r="C1598" s="89"/>
      <c r="D1598" s="112"/>
      <c r="E1598" s="112"/>
      <c r="F1598" s="112"/>
      <c r="G1598" s="96"/>
      <c r="H1598" s="96">
        <f>D1598*E1598*F1598*G1598/1000</f>
        <v>0</v>
      </c>
      <c r="I1598" s="96">
        <f t="shared" si="82"/>
        <v>0</v>
      </c>
    </row>
    <row r="1599" spans="1:9">
      <c r="A1599" s="90"/>
      <c r="B1599" s="91"/>
      <c r="C1599" s="89"/>
      <c r="D1599" s="112"/>
      <c r="E1599" s="112"/>
      <c r="F1599" s="112"/>
      <c r="G1599" s="96"/>
      <c r="H1599" s="96"/>
      <c r="I1599" s="96">
        <f t="shared" si="82"/>
        <v>0</v>
      </c>
    </row>
    <row r="1600" spans="1:9">
      <c r="A1600" s="90"/>
      <c r="B1600" s="91"/>
      <c r="C1600" s="89"/>
      <c r="D1600" s="112"/>
      <c r="E1600" s="112"/>
      <c r="F1600" s="112"/>
      <c r="G1600" s="96"/>
      <c r="H1600" s="96"/>
      <c r="I1600" s="96">
        <f t="shared" si="82"/>
        <v>0</v>
      </c>
    </row>
    <row r="1601" spans="1:9">
      <c r="A1601" s="90"/>
      <c r="B1601" s="91"/>
      <c r="C1601" s="89"/>
      <c r="D1601" s="112"/>
      <c r="E1601" s="112"/>
      <c r="F1601" s="112"/>
      <c r="G1601" s="96"/>
      <c r="H1601" s="96"/>
      <c r="I1601" s="96">
        <f t="shared" si="82"/>
        <v>0</v>
      </c>
    </row>
    <row r="1602" spans="1:9">
      <c r="A1602" s="90"/>
      <c r="B1602" s="91"/>
      <c r="C1602" s="89"/>
      <c r="D1602" s="112"/>
      <c r="E1602" s="112"/>
      <c r="F1602" s="112"/>
      <c r="G1602" s="96"/>
      <c r="H1602" s="96"/>
      <c r="I1602" s="96">
        <f t="shared" si="82"/>
        <v>0</v>
      </c>
    </row>
    <row r="1603" spans="1:9">
      <c r="A1603" s="90"/>
      <c r="B1603" s="91"/>
      <c r="C1603" s="89"/>
      <c r="D1603" s="112"/>
      <c r="E1603" s="112"/>
      <c r="F1603" s="112"/>
      <c r="G1603" s="96"/>
      <c r="H1603" s="96"/>
      <c r="I1603" s="96">
        <f t="shared" si="82"/>
        <v>0</v>
      </c>
    </row>
    <row r="1604" spans="1:9">
      <c r="A1604" s="90"/>
      <c r="B1604" s="91"/>
      <c r="C1604" s="89"/>
      <c r="D1604" s="112"/>
      <c r="E1604" s="112"/>
      <c r="F1604" s="112"/>
      <c r="G1604" s="96"/>
      <c r="H1604" s="96"/>
      <c r="I1604" s="96"/>
    </row>
    <row r="1605" spans="1:9">
      <c r="A1605" s="90"/>
      <c r="B1605" s="91"/>
      <c r="C1605" s="89"/>
      <c r="D1605" s="112"/>
      <c r="E1605" s="112"/>
      <c r="F1605" s="112"/>
      <c r="G1605" s="96"/>
      <c r="H1605" s="96"/>
      <c r="I1605" s="96"/>
    </row>
    <row r="1606" spans="1:9">
      <c r="A1606" s="90">
        <f>SUM(A1596:A1605)</f>
        <v>20</v>
      </c>
      <c r="B1606" s="91"/>
      <c r="C1606" s="74" t="str">
        <f>IF(B1606&lt;1,"-",VLOOKUP(B1606,HARGA01,2))</f>
        <v>-</v>
      </c>
      <c r="D1606" s="74"/>
      <c r="E1606" s="74"/>
      <c r="F1606" s="74"/>
      <c r="G1606" s="74"/>
      <c r="H1606" s="96" t="str">
        <f>IF(B1606&lt;1,"-",VLOOKUP(B1606,HARGA01,3))</f>
        <v>-</v>
      </c>
      <c r="I1606" s="96" t="str">
        <f>IF(H1606="-","-",A1606*H1606)</f>
        <v>-</v>
      </c>
    </row>
    <row r="1607" spans="1:9">
      <c r="A1607" s="634" t="s">
        <v>23</v>
      </c>
      <c r="B1607" s="635"/>
      <c r="C1607" s="634"/>
      <c r="D1607" s="634"/>
      <c r="E1607" s="634"/>
      <c r="F1607" s="634"/>
      <c r="G1607" s="634"/>
      <c r="H1607" s="636"/>
      <c r="I1607" s="96">
        <f>SUM(I1596:I1606)</f>
        <v>5050000</v>
      </c>
    </row>
    <row r="1608" spans="1:9">
      <c r="A1608" s="28" t="s">
        <v>24</v>
      </c>
      <c r="B1608" s="28"/>
      <c r="H1608" s="637" t="s">
        <v>25</v>
      </c>
      <c r="I1608" s="637"/>
    </row>
    <row r="1611" spans="1:9">
      <c r="H1611" s="94" t="s">
        <v>27</v>
      </c>
      <c r="I1611" s="25"/>
    </row>
    <row r="1612" spans="1:9" ht="27">
      <c r="A1612" s="2" t="s">
        <v>0</v>
      </c>
      <c r="B1612" s="2"/>
    </row>
    <row r="1613" spans="1:9">
      <c r="A1613" t="s">
        <v>1</v>
      </c>
      <c r="C1613" t="s">
        <v>2</v>
      </c>
      <c r="H1613" t="s">
        <v>3</v>
      </c>
      <c r="I1613" s="73">
        <v>44369</v>
      </c>
    </row>
    <row r="1614" spans="1:9">
      <c r="C1614" t="s">
        <v>4</v>
      </c>
      <c r="H1614" t="s">
        <v>5</v>
      </c>
      <c r="I1614" t="s">
        <v>48</v>
      </c>
    </row>
    <row r="1615" spans="1:9">
      <c r="C1615" t="s">
        <v>7</v>
      </c>
      <c r="H1615" s="86"/>
      <c r="I1615" s="86" t="s">
        <v>49</v>
      </c>
    </row>
    <row r="1616" spans="1:9">
      <c r="A1616" t="s">
        <v>8</v>
      </c>
      <c r="C1616" s="87" t="s">
        <v>9</v>
      </c>
      <c r="D1616" s="87"/>
      <c r="E1616" s="87"/>
      <c r="F1616" s="87"/>
      <c r="G1616" s="87"/>
      <c r="H1616" t="s">
        <v>10</v>
      </c>
      <c r="I1616" s="114" t="s">
        <v>11</v>
      </c>
    </row>
    <row r="1617" spans="1:9">
      <c r="A1617" t="s">
        <v>12</v>
      </c>
      <c r="C1617" t="s">
        <v>13</v>
      </c>
      <c r="H1617" t="s">
        <v>14</v>
      </c>
      <c r="I1617" t="s">
        <v>11</v>
      </c>
    </row>
    <row r="1618" spans="1:9">
      <c r="A1618" s="88" t="s">
        <v>15</v>
      </c>
      <c r="B1618" s="89"/>
      <c r="C1618" s="74" t="s">
        <v>16</v>
      </c>
      <c r="D1618" s="74" t="s">
        <v>81</v>
      </c>
      <c r="E1618" s="74" t="s">
        <v>82</v>
      </c>
      <c r="F1618" s="74" t="s">
        <v>83</v>
      </c>
      <c r="G1618" s="74" t="s">
        <v>84</v>
      </c>
      <c r="H1618" s="95" t="s">
        <v>85</v>
      </c>
      <c r="I1618" s="95" t="s">
        <v>18</v>
      </c>
    </row>
    <row r="1619" spans="1:9">
      <c r="A1619" s="90">
        <v>10</v>
      </c>
      <c r="B1619" s="91"/>
      <c r="C1619" s="89" t="s">
        <v>116</v>
      </c>
      <c r="D1619" s="112"/>
      <c r="E1619" s="112"/>
      <c r="F1619" s="112"/>
      <c r="G1619" s="96"/>
      <c r="H1619" s="96">
        <v>245000</v>
      </c>
      <c r="I1619" s="96">
        <f t="shared" ref="I1619:I1626" si="83">IF(H1619="-","-",A1619*H1619)</f>
        <v>2450000</v>
      </c>
    </row>
    <row r="1620" spans="1:9">
      <c r="A1620" s="90">
        <v>10</v>
      </c>
      <c r="B1620" s="91"/>
      <c r="C1620" s="89" t="s">
        <v>128</v>
      </c>
      <c r="D1620" s="112"/>
      <c r="E1620" s="112"/>
      <c r="F1620" s="112"/>
      <c r="G1620" s="96"/>
      <c r="H1620" s="96">
        <v>260000</v>
      </c>
      <c r="I1620" s="96">
        <f t="shared" si="83"/>
        <v>2600000</v>
      </c>
    </row>
    <row r="1621" spans="1:9">
      <c r="A1621" s="90"/>
      <c r="B1621" s="91"/>
      <c r="C1621" s="89"/>
      <c r="D1621" s="112"/>
      <c r="E1621" s="112"/>
      <c r="F1621" s="112"/>
      <c r="G1621" s="96"/>
      <c r="H1621" s="96">
        <f>D1621*E1621*F1621*G1621/1000</f>
        <v>0</v>
      </c>
      <c r="I1621" s="96">
        <f t="shared" si="83"/>
        <v>0</v>
      </c>
    </row>
    <row r="1622" spans="1:9">
      <c r="A1622" s="90"/>
      <c r="B1622" s="91"/>
      <c r="C1622" s="89"/>
      <c r="D1622" s="112"/>
      <c r="E1622" s="112"/>
      <c r="F1622" s="112"/>
      <c r="G1622" s="96"/>
      <c r="H1622" s="96"/>
      <c r="I1622" s="96">
        <f t="shared" si="83"/>
        <v>0</v>
      </c>
    </row>
    <row r="1623" spans="1:9">
      <c r="A1623" s="90"/>
      <c r="B1623" s="91"/>
      <c r="C1623" s="89"/>
      <c r="D1623" s="112"/>
      <c r="E1623" s="112"/>
      <c r="F1623" s="112"/>
      <c r="G1623" s="96"/>
      <c r="H1623" s="96"/>
      <c r="I1623" s="96">
        <f t="shared" si="83"/>
        <v>0</v>
      </c>
    </row>
    <row r="1624" spans="1:9">
      <c r="A1624" s="90"/>
      <c r="B1624" s="91"/>
      <c r="C1624" s="89"/>
      <c r="D1624" s="112"/>
      <c r="E1624" s="112"/>
      <c r="F1624" s="112"/>
      <c r="G1624" s="96"/>
      <c r="H1624" s="96"/>
      <c r="I1624" s="96">
        <f t="shared" si="83"/>
        <v>0</v>
      </c>
    </row>
    <row r="1625" spans="1:9">
      <c r="A1625" s="90"/>
      <c r="B1625" s="91"/>
      <c r="C1625" s="89"/>
      <c r="D1625" s="112"/>
      <c r="E1625" s="112"/>
      <c r="F1625" s="112"/>
      <c r="G1625" s="96"/>
      <c r="H1625" s="96"/>
      <c r="I1625" s="96">
        <f t="shared" si="83"/>
        <v>0</v>
      </c>
    </row>
    <row r="1626" spans="1:9">
      <c r="A1626" s="90"/>
      <c r="B1626" s="91"/>
      <c r="C1626" s="89"/>
      <c r="D1626" s="112"/>
      <c r="E1626" s="112"/>
      <c r="F1626" s="112"/>
      <c r="G1626" s="96"/>
      <c r="H1626" s="96"/>
      <c r="I1626" s="96">
        <f t="shared" si="83"/>
        <v>0</v>
      </c>
    </row>
    <row r="1627" spans="1:9">
      <c r="A1627" s="90"/>
      <c r="B1627" s="91"/>
      <c r="C1627" s="89"/>
      <c r="D1627" s="112"/>
      <c r="E1627" s="112"/>
      <c r="F1627" s="112"/>
      <c r="G1627" s="96"/>
      <c r="H1627" s="96"/>
      <c r="I1627" s="96"/>
    </row>
    <row r="1628" spans="1:9">
      <c r="A1628" s="90"/>
      <c r="B1628" s="91"/>
      <c r="C1628" s="89"/>
      <c r="D1628" s="112"/>
      <c r="E1628" s="112"/>
      <c r="F1628" s="112"/>
      <c r="G1628" s="96"/>
      <c r="H1628" s="96"/>
      <c r="I1628" s="96"/>
    </row>
    <row r="1629" spans="1:9">
      <c r="A1629" s="90">
        <f>SUM(A1619:A1628)</f>
        <v>20</v>
      </c>
      <c r="B1629" s="91"/>
      <c r="C1629" s="74" t="str">
        <f>IF(B1629&lt;1,"-",VLOOKUP(B1629,HARGA01,2))</f>
        <v>-</v>
      </c>
      <c r="D1629" s="74"/>
      <c r="E1629" s="74"/>
      <c r="F1629" s="74"/>
      <c r="G1629" s="74"/>
      <c r="H1629" s="96" t="str">
        <f>IF(B1629&lt;1,"-",VLOOKUP(B1629,HARGA01,3))</f>
        <v>-</v>
      </c>
      <c r="I1629" s="96" t="str">
        <f>IF(H1629="-","-",A1629*H1629)</f>
        <v>-</v>
      </c>
    </row>
    <row r="1630" spans="1:9">
      <c r="A1630" s="634" t="s">
        <v>23</v>
      </c>
      <c r="B1630" s="635"/>
      <c r="C1630" s="634"/>
      <c r="D1630" s="634"/>
      <c r="E1630" s="634"/>
      <c r="F1630" s="634"/>
      <c r="G1630" s="634"/>
      <c r="H1630" s="636"/>
      <c r="I1630" s="96">
        <f>SUM(I1619:I1629)</f>
        <v>5050000</v>
      </c>
    </row>
    <row r="1631" spans="1:9">
      <c r="A1631" s="28" t="s">
        <v>24</v>
      </c>
      <c r="B1631" s="28"/>
      <c r="H1631" s="637" t="s">
        <v>25</v>
      </c>
      <c r="I1631" s="637"/>
    </row>
    <row r="1634" spans="1:9">
      <c r="H1634" s="94" t="s">
        <v>27</v>
      </c>
      <c r="I1634" s="25"/>
    </row>
    <row r="1635" spans="1:9" ht="27">
      <c r="A1635" s="2" t="s">
        <v>0</v>
      </c>
      <c r="B1635" s="2"/>
    </row>
    <row r="1636" spans="1:9">
      <c r="A1636" t="s">
        <v>1</v>
      </c>
      <c r="C1636" t="s">
        <v>2</v>
      </c>
      <c r="H1636" t="s">
        <v>3</v>
      </c>
      <c r="I1636" s="73">
        <v>44385</v>
      </c>
    </row>
    <row r="1637" spans="1:9">
      <c r="C1637" t="s">
        <v>4</v>
      </c>
      <c r="H1637" t="s">
        <v>5</v>
      </c>
      <c r="I1637" t="s">
        <v>48</v>
      </c>
    </row>
    <row r="1638" spans="1:9">
      <c r="C1638" t="s">
        <v>7</v>
      </c>
      <c r="H1638" s="86"/>
      <c r="I1638" s="86" t="s">
        <v>49</v>
      </c>
    </row>
    <row r="1639" spans="1:9">
      <c r="A1639" t="s">
        <v>8</v>
      </c>
      <c r="C1639" s="87" t="s">
        <v>9</v>
      </c>
      <c r="D1639" s="87"/>
      <c r="E1639" s="87"/>
      <c r="F1639" s="87"/>
      <c r="G1639" s="87"/>
      <c r="H1639" t="s">
        <v>10</v>
      </c>
      <c r="I1639" s="114" t="s">
        <v>11</v>
      </c>
    </row>
    <row r="1640" spans="1:9">
      <c r="A1640" t="s">
        <v>12</v>
      </c>
      <c r="C1640" t="s">
        <v>13</v>
      </c>
      <c r="H1640" t="s">
        <v>14</v>
      </c>
      <c r="I1640" t="s">
        <v>11</v>
      </c>
    </row>
    <row r="1641" spans="1:9">
      <c r="A1641" s="88" t="s">
        <v>15</v>
      </c>
      <c r="B1641" s="89"/>
      <c r="C1641" s="74" t="s">
        <v>16</v>
      </c>
      <c r="D1641" s="74" t="s">
        <v>81</v>
      </c>
      <c r="E1641" s="74" t="s">
        <v>82</v>
      </c>
      <c r="F1641" s="74" t="s">
        <v>83</v>
      </c>
      <c r="G1641" s="74" t="s">
        <v>84</v>
      </c>
      <c r="H1641" s="95" t="s">
        <v>85</v>
      </c>
      <c r="I1641" s="95" t="s">
        <v>18</v>
      </c>
    </row>
    <row r="1642" spans="1:9">
      <c r="A1642" s="90">
        <v>10</v>
      </c>
      <c r="B1642" s="91"/>
      <c r="C1642" s="89" t="s">
        <v>134</v>
      </c>
      <c r="D1642" s="112">
        <v>200</v>
      </c>
      <c r="E1642" s="112">
        <v>160</v>
      </c>
      <c r="F1642" s="112">
        <v>20</v>
      </c>
      <c r="G1642" s="96">
        <v>1648</v>
      </c>
      <c r="H1642" s="96">
        <f>D1642*E1642*F1642*G1642/1000</f>
        <v>1054720</v>
      </c>
      <c r="I1642" s="96">
        <f>IF(H1642="-","-",A1642*H1642)</f>
        <v>10547200</v>
      </c>
    </row>
    <row r="1643" spans="1:9">
      <c r="A1643" s="90">
        <v>2</v>
      </c>
      <c r="B1643" s="91"/>
      <c r="C1643" s="89" t="s">
        <v>134</v>
      </c>
      <c r="D1643" s="112">
        <v>200</v>
      </c>
      <c r="E1643" s="112">
        <v>180</v>
      </c>
      <c r="F1643" s="112">
        <v>20</v>
      </c>
      <c r="G1643" s="96">
        <v>1648</v>
      </c>
      <c r="H1643" s="96">
        <f t="shared" ref="H1643:H1652" si="84">D1643*E1643*F1643*G1643/1000</f>
        <v>1186560</v>
      </c>
      <c r="I1643" s="96">
        <f>IF(H1643="-","-",A1643*H1643)</f>
        <v>2373120</v>
      </c>
    </row>
    <row r="1644" spans="1:9">
      <c r="A1644" s="90"/>
      <c r="B1644" s="91"/>
      <c r="C1644" s="89"/>
      <c r="D1644" s="112"/>
      <c r="E1644" s="112"/>
      <c r="F1644" s="112"/>
      <c r="G1644" s="96"/>
      <c r="H1644" s="96">
        <f t="shared" si="84"/>
        <v>0</v>
      </c>
      <c r="I1644" s="96">
        <f t="shared" ref="I1644:I1652" si="85">IF(H1644="-","-",A1644*H1644)</f>
        <v>0</v>
      </c>
    </row>
    <row r="1645" spans="1:9">
      <c r="A1645" s="90"/>
      <c r="B1645" s="91"/>
      <c r="C1645" s="89"/>
      <c r="D1645" s="112"/>
      <c r="E1645" s="112"/>
      <c r="F1645" s="112"/>
      <c r="G1645" s="96"/>
      <c r="H1645" s="96">
        <f t="shared" si="84"/>
        <v>0</v>
      </c>
      <c r="I1645" s="96">
        <f t="shared" si="85"/>
        <v>0</v>
      </c>
    </row>
    <row r="1646" spans="1:9">
      <c r="A1646" s="90"/>
      <c r="B1646" s="91"/>
      <c r="C1646" s="89"/>
      <c r="D1646" s="112"/>
      <c r="E1646" s="112"/>
      <c r="F1646" s="112"/>
      <c r="G1646" s="96"/>
      <c r="H1646" s="96">
        <f t="shared" si="84"/>
        <v>0</v>
      </c>
      <c r="I1646" s="96">
        <f t="shared" si="85"/>
        <v>0</v>
      </c>
    </row>
    <row r="1647" spans="1:9">
      <c r="A1647" s="90"/>
      <c r="B1647" s="91"/>
      <c r="C1647" s="89"/>
      <c r="D1647" s="112"/>
      <c r="E1647" s="112"/>
      <c r="F1647" s="112"/>
      <c r="G1647" s="96"/>
      <c r="H1647" s="96">
        <f t="shared" si="84"/>
        <v>0</v>
      </c>
      <c r="I1647" s="96">
        <f t="shared" si="85"/>
        <v>0</v>
      </c>
    </row>
    <row r="1648" spans="1:9">
      <c r="A1648" s="90"/>
      <c r="B1648" s="91"/>
      <c r="C1648" s="89"/>
      <c r="D1648" s="112"/>
      <c r="E1648" s="112"/>
      <c r="F1648" s="112"/>
      <c r="G1648" s="96"/>
      <c r="H1648" s="96">
        <f t="shared" si="84"/>
        <v>0</v>
      </c>
      <c r="I1648" s="96">
        <f t="shared" si="85"/>
        <v>0</v>
      </c>
    </row>
    <row r="1649" spans="1:9">
      <c r="A1649" s="90"/>
      <c r="B1649" s="91"/>
      <c r="C1649" s="89"/>
      <c r="D1649" s="112"/>
      <c r="E1649" s="112"/>
      <c r="F1649" s="112"/>
      <c r="G1649" s="96"/>
      <c r="H1649" s="96">
        <f t="shared" si="84"/>
        <v>0</v>
      </c>
      <c r="I1649" s="96">
        <f t="shared" si="85"/>
        <v>0</v>
      </c>
    </row>
    <row r="1650" spans="1:9">
      <c r="A1650" s="90"/>
      <c r="B1650" s="91"/>
      <c r="C1650" s="89"/>
      <c r="D1650" s="112"/>
      <c r="E1650" s="112"/>
      <c r="F1650" s="112"/>
      <c r="G1650" s="96"/>
      <c r="H1650" s="96">
        <f t="shared" si="84"/>
        <v>0</v>
      </c>
      <c r="I1650" s="96">
        <f t="shared" si="85"/>
        <v>0</v>
      </c>
    </row>
    <row r="1651" spans="1:9">
      <c r="A1651" s="90"/>
      <c r="B1651" s="91"/>
      <c r="C1651" s="89"/>
      <c r="D1651" s="112"/>
      <c r="E1651" s="112"/>
      <c r="F1651" s="112"/>
      <c r="G1651" s="96"/>
      <c r="H1651" s="96">
        <f t="shared" si="84"/>
        <v>0</v>
      </c>
      <c r="I1651" s="96">
        <f t="shared" si="85"/>
        <v>0</v>
      </c>
    </row>
    <row r="1652" spans="1:9">
      <c r="A1652" s="90">
        <f>SUM(A1642:A1651)</f>
        <v>12</v>
      </c>
      <c r="B1652" s="91"/>
      <c r="C1652" s="74" t="str">
        <f>IF(B1652&lt;1,"-",VLOOKUP(B1652,HARGA01,2))</f>
        <v>-</v>
      </c>
      <c r="D1652" s="74"/>
      <c r="E1652" s="74"/>
      <c r="F1652" s="74"/>
      <c r="G1652" s="74"/>
      <c r="H1652" s="96">
        <f t="shared" si="84"/>
        <v>0</v>
      </c>
      <c r="I1652" s="96">
        <f t="shared" si="85"/>
        <v>0</v>
      </c>
    </row>
    <row r="1653" spans="1:9">
      <c r="A1653" s="634" t="s">
        <v>23</v>
      </c>
      <c r="B1653" s="635"/>
      <c r="C1653" s="634"/>
      <c r="D1653" s="634"/>
      <c r="E1653" s="634"/>
      <c r="F1653" s="634"/>
      <c r="G1653" s="634"/>
      <c r="H1653" s="636"/>
      <c r="I1653" s="96">
        <f>SUM(I1642:I1652)</f>
        <v>12920320</v>
      </c>
    </row>
    <row r="1654" spans="1:9">
      <c r="A1654" s="28" t="s">
        <v>24</v>
      </c>
      <c r="B1654" s="28"/>
      <c r="H1654" s="637" t="s">
        <v>25</v>
      </c>
      <c r="I1654" s="637"/>
    </row>
    <row r="1657" spans="1:9">
      <c r="H1657" s="94" t="s">
        <v>27</v>
      </c>
      <c r="I1657" s="25"/>
    </row>
    <row r="1658" spans="1:9" ht="27">
      <c r="A1658" s="2" t="s">
        <v>0</v>
      </c>
      <c r="B1658" s="2"/>
    </row>
    <row r="1659" spans="1:9">
      <c r="A1659" t="s">
        <v>1</v>
      </c>
      <c r="C1659" t="s">
        <v>2</v>
      </c>
      <c r="H1659" t="s">
        <v>3</v>
      </c>
      <c r="I1659" s="73">
        <v>44386</v>
      </c>
    </row>
    <row r="1660" spans="1:9">
      <c r="C1660" t="s">
        <v>4</v>
      </c>
      <c r="H1660" t="s">
        <v>5</v>
      </c>
      <c r="I1660" t="s">
        <v>129</v>
      </c>
    </row>
    <row r="1661" spans="1:9">
      <c r="C1661" t="s">
        <v>7</v>
      </c>
      <c r="H1661" s="86"/>
      <c r="I1661" s="86" t="s">
        <v>130</v>
      </c>
    </row>
    <row r="1662" spans="1:9">
      <c r="A1662" t="s">
        <v>8</v>
      </c>
      <c r="C1662" s="87" t="s">
        <v>9</v>
      </c>
      <c r="D1662" s="87"/>
      <c r="E1662" s="87"/>
      <c r="F1662" s="87"/>
      <c r="G1662" s="87"/>
      <c r="H1662" t="s">
        <v>10</v>
      </c>
      <c r="I1662" s="114" t="s">
        <v>11</v>
      </c>
    </row>
    <row r="1663" spans="1:9">
      <c r="A1663" t="s">
        <v>12</v>
      </c>
      <c r="C1663" t="s">
        <v>13</v>
      </c>
      <c r="H1663" t="s">
        <v>14</v>
      </c>
      <c r="I1663" t="s">
        <v>11</v>
      </c>
    </row>
    <row r="1664" spans="1:9">
      <c r="A1664" s="88" t="s">
        <v>15</v>
      </c>
      <c r="B1664" s="89"/>
      <c r="C1664" s="74" t="s">
        <v>16</v>
      </c>
      <c r="D1664" s="74" t="s">
        <v>81</v>
      </c>
      <c r="E1664" s="74" t="s">
        <v>82</v>
      </c>
      <c r="F1664" s="74" t="s">
        <v>83</v>
      </c>
      <c r="G1664" s="74" t="s">
        <v>84</v>
      </c>
      <c r="H1664" s="95" t="s">
        <v>85</v>
      </c>
      <c r="I1664" s="95" t="s">
        <v>18</v>
      </c>
    </row>
    <row r="1665" spans="1:9">
      <c r="A1665" s="90">
        <v>3</v>
      </c>
      <c r="B1665" s="91"/>
      <c r="C1665" s="89" t="s">
        <v>134</v>
      </c>
      <c r="D1665" s="112">
        <v>200</v>
      </c>
      <c r="E1665" s="112">
        <v>140</v>
      </c>
      <c r="F1665" s="112">
        <v>15</v>
      </c>
      <c r="G1665" s="96">
        <v>1648</v>
      </c>
      <c r="H1665" s="96">
        <f>D1665*E1665*F1665*G1665/1000</f>
        <v>692160</v>
      </c>
      <c r="I1665" s="96">
        <f>IF(H1665="-","-",A1665*H1665)</f>
        <v>2076480</v>
      </c>
    </row>
    <row r="1666" spans="1:9">
      <c r="A1666" s="90">
        <v>1</v>
      </c>
      <c r="B1666" s="91"/>
      <c r="C1666" s="89" t="s">
        <v>134</v>
      </c>
      <c r="D1666" s="112">
        <v>200</v>
      </c>
      <c r="E1666" s="112">
        <v>140</v>
      </c>
      <c r="F1666" s="112">
        <v>20</v>
      </c>
      <c r="G1666" s="96">
        <v>1648</v>
      </c>
      <c r="H1666" s="96">
        <f t="shared" ref="H1666:H1675" si="86">D1666*E1666*F1666*G1666/1000</f>
        <v>922880</v>
      </c>
      <c r="I1666" s="96">
        <f>IF(H1666="-","-",A1666*H1666)</f>
        <v>922880</v>
      </c>
    </row>
    <row r="1667" spans="1:9">
      <c r="A1667" s="90">
        <v>1</v>
      </c>
      <c r="B1667" s="91"/>
      <c r="C1667" s="89" t="s">
        <v>134</v>
      </c>
      <c r="D1667" s="112">
        <v>200</v>
      </c>
      <c r="E1667" s="112">
        <v>150</v>
      </c>
      <c r="F1667" s="112">
        <v>20</v>
      </c>
      <c r="G1667" s="96">
        <v>1648</v>
      </c>
      <c r="H1667" s="96">
        <f t="shared" si="86"/>
        <v>988800</v>
      </c>
      <c r="I1667" s="96">
        <f t="shared" ref="I1667:I1675" si="87">IF(H1667="-","-",A1667*H1667)</f>
        <v>988800</v>
      </c>
    </row>
    <row r="1668" spans="1:9">
      <c r="A1668" s="90">
        <v>1</v>
      </c>
      <c r="B1668" s="91"/>
      <c r="C1668" s="89" t="s">
        <v>134</v>
      </c>
      <c r="D1668" s="112">
        <v>200</v>
      </c>
      <c r="E1668" s="112">
        <v>160</v>
      </c>
      <c r="F1668" s="112">
        <v>20</v>
      </c>
      <c r="G1668" s="96">
        <v>1648</v>
      </c>
      <c r="H1668" s="96">
        <f t="shared" si="86"/>
        <v>1054720</v>
      </c>
      <c r="I1668" s="96">
        <f t="shared" si="87"/>
        <v>1054720</v>
      </c>
    </row>
    <row r="1669" spans="1:9">
      <c r="A1669" s="90">
        <v>1</v>
      </c>
      <c r="B1669" s="91"/>
      <c r="C1669" s="89" t="s">
        <v>134</v>
      </c>
      <c r="D1669" s="112">
        <v>200</v>
      </c>
      <c r="E1669" s="112">
        <v>180</v>
      </c>
      <c r="F1669" s="112">
        <v>20</v>
      </c>
      <c r="G1669" s="96">
        <v>1648</v>
      </c>
      <c r="H1669" s="96">
        <f t="shared" si="86"/>
        <v>1186560</v>
      </c>
      <c r="I1669" s="96">
        <f t="shared" si="87"/>
        <v>1186560</v>
      </c>
    </row>
    <row r="1670" spans="1:9">
      <c r="A1670" s="90"/>
      <c r="B1670" s="91"/>
      <c r="C1670" s="89"/>
      <c r="D1670" s="112"/>
      <c r="E1670" s="112"/>
      <c r="F1670" s="112"/>
      <c r="G1670" s="96"/>
      <c r="H1670" s="96">
        <f t="shared" si="86"/>
        <v>0</v>
      </c>
      <c r="I1670" s="96">
        <f t="shared" si="87"/>
        <v>0</v>
      </c>
    </row>
    <row r="1671" spans="1:9">
      <c r="A1671" s="90"/>
      <c r="B1671" s="91"/>
      <c r="C1671" s="89"/>
      <c r="D1671" s="112"/>
      <c r="E1671" s="112"/>
      <c r="F1671" s="112"/>
      <c r="G1671" s="96"/>
      <c r="H1671" s="96">
        <f t="shared" si="86"/>
        <v>0</v>
      </c>
      <c r="I1671" s="96">
        <f t="shared" si="87"/>
        <v>0</v>
      </c>
    </row>
    <row r="1672" spans="1:9">
      <c r="A1672" s="90"/>
      <c r="B1672" s="91"/>
      <c r="C1672" s="89"/>
      <c r="D1672" s="112"/>
      <c r="E1672" s="112"/>
      <c r="F1672" s="112"/>
      <c r="G1672" s="96"/>
      <c r="H1672" s="96">
        <f t="shared" si="86"/>
        <v>0</v>
      </c>
      <c r="I1672" s="96">
        <f t="shared" si="87"/>
        <v>0</v>
      </c>
    </row>
    <row r="1673" spans="1:9">
      <c r="A1673" s="90"/>
      <c r="B1673" s="91"/>
      <c r="C1673" s="89"/>
      <c r="D1673" s="112"/>
      <c r="E1673" s="112"/>
      <c r="F1673" s="112"/>
      <c r="G1673" s="96"/>
      <c r="H1673" s="96">
        <f t="shared" si="86"/>
        <v>0</v>
      </c>
      <c r="I1673" s="96">
        <f t="shared" si="87"/>
        <v>0</v>
      </c>
    </row>
    <row r="1674" spans="1:9">
      <c r="A1674" s="90"/>
      <c r="B1674" s="91"/>
      <c r="C1674" s="89"/>
      <c r="D1674" s="112"/>
      <c r="E1674" s="112"/>
      <c r="F1674" s="112"/>
      <c r="G1674" s="96"/>
      <c r="H1674" s="96">
        <f t="shared" si="86"/>
        <v>0</v>
      </c>
      <c r="I1674" s="96">
        <f t="shared" si="87"/>
        <v>0</v>
      </c>
    </row>
    <row r="1675" spans="1:9">
      <c r="A1675" s="90">
        <f>SUM(A1665:A1674)</f>
        <v>7</v>
      </c>
      <c r="B1675" s="91"/>
      <c r="C1675" s="74" t="str">
        <f>IF(B1675&lt;1,"-",VLOOKUP(B1675,HARGA01,2))</f>
        <v>-</v>
      </c>
      <c r="D1675" s="74"/>
      <c r="E1675" s="74"/>
      <c r="F1675" s="74"/>
      <c r="G1675" s="74"/>
      <c r="H1675" s="96">
        <f t="shared" si="86"/>
        <v>0</v>
      </c>
      <c r="I1675" s="96">
        <f t="shared" si="87"/>
        <v>0</v>
      </c>
    </row>
    <row r="1676" spans="1:9">
      <c r="A1676" s="634" t="s">
        <v>23</v>
      </c>
      <c r="B1676" s="635"/>
      <c r="C1676" s="634"/>
      <c r="D1676" s="634"/>
      <c r="E1676" s="634"/>
      <c r="F1676" s="634"/>
      <c r="G1676" s="634"/>
      <c r="H1676" s="636"/>
      <c r="I1676" s="96">
        <f>SUM(I1665:I1675)</f>
        <v>6229440</v>
      </c>
    </row>
    <row r="1677" spans="1:9">
      <c r="A1677" s="28" t="s">
        <v>24</v>
      </c>
      <c r="B1677" s="28"/>
      <c r="H1677" s="637" t="s">
        <v>25</v>
      </c>
      <c r="I1677" s="637"/>
    </row>
    <row r="1680" spans="1:9">
      <c r="H1680" s="94" t="s">
        <v>27</v>
      </c>
      <c r="I1680" s="25"/>
    </row>
    <row r="1681" spans="1:9" ht="27">
      <c r="A1681" s="2" t="s">
        <v>0</v>
      </c>
      <c r="B1681" s="2"/>
    </row>
    <row r="1682" spans="1:9">
      <c r="A1682" t="s">
        <v>1</v>
      </c>
      <c r="C1682" t="s">
        <v>2</v>
      </c>
      <c r="H1682" t="s">
        <v>3</v>
      </c>
      <c r="I1682" s="73">
        <v>44386</v>
      </c>
    </row>
    <row r="1683" spans="1:9">
      <c r="C1683" t="s">
        <v>4</v>
      </c>
      <c r="H1683" t="s">
        <v>5</v>
      </c>
      <c r="I1683" t="s">
        <v>129</v>
      </c>
    </row>
    <row r="1684" spans="1:9">
      <c r="C1684" t="s">
        <v>7</v>
      </c>
      <c r="H1684" s="86"/>
      <c r="I1684" s="86" t="s">
        <v>130</v>
      </c>
    </row>
    <row r="1685" spans="1:9">
      <c r="A1685" t="s">
        <v>8</v>
      </c>
      <c r="C1685" s="87" t="s">
        <v>9</v>
      </c>
      <c r="D1685" s="87"/>
      <c r="E1685" s="87"/>
      <c r="F1685" s="87"/>
      <c r="G1685" s="87"/>
      <c r="H1685" t="s">
        <v>10</v>
      </c>
      <c r="I1685" s="114" t="s">
        <v>11</v>
      </c>
    </row>
    <row r="1686" spans="1:9">
      <c r="A1686" t="s">
        <v>12</v>
      </c>
      <c r="C1686" t="s">
        <v>13</v>
      </c>
      <c r="H1686" t="s">
        <v>14</v>
      </c>
      <c r="I1686" t="s">
        <v>11</v>
      </c>
    </row>
    <row r="1687" spans="1:9">
      <c r="A1687" s="88" t="s">
        <v>15</v>
      </c>
      <c r="B1687" s="89"/>
      <c r="C1687" s="74" t="s">
        <v>16</v>
      </c>
      <c r="D1687" s="74" t="s">
        <v>81</v>
      </c>
      <c r="E1687" s="74" t="s">
        <v>82</v>
      </c>
      <c r="F1687" s="74" t="s">
        <v>83</v>
      </c>
      <c r="G1687" s="74" t="s">
        <v>84</v>
      </c>
      <c r="H1687" s="95" t="s">
        <v>85</v>
      </c>
      <c r="I1687" s="95" t="s">
        <v>18</v>
      </c>
    </row>
    <row r="1688" spans="1:9">
      <c r="A1688" s="90">
        <v>3</v>
      </c>
      <c r="B1688" s="91"/>
      <c r="C1688" s="89" t="s">
        <v>134</v>
      </c>
      <c r="D1688" s="112">
        <v>200</v>
      </c>
      <c r="E1688" s="112">
        <v>140</v>
      </c>
      <c r="F1688" s="112">
        <v>15</v>
      </c>
      <c r="G1688" s="96">
        <v>1648</v>
      </c>
      <c r="H1688" s="96">
        <f>D1688*E1688*F1688*G1688/1000</f>
        <v>692160</v>
      </c>
      <c r="I1688" s="96">
        <f>IF(H1688="-","-",A1688*H1688)</f>
        <v>2076480</v>
      </c>
    </row>
    <row r="1689" spans="1:9">
      <c r="A1689" s="90">
        <v>1</v>
      </c>
      <c r="B1689" s="91"/>
      <c r="C1689" s="89" t="s">
        <v>134</v>
      </c>
      <c r="D1689" s="112">
        <v>200</v>
      </c>
      <c r="E1689" s="112">
        <v>140</v>
      </c>
      <c r="F1689" s="112">
        <v>20</v>
      </c>
      <c r="G1689" s="96">
        <v>1648</v>
      </c>
      <c r="H1689" s="96">
        <f t="shared" ref="H1689:H1698" si="88">D1689*E1689*F1689*G1689/1000</f>
        <v>922880</v>
      </c>
      <c r="I1689" s="96">
        <f>IF(H1689="-","-",A1689*H1689)</f>
        <v>922880</v>
      </c>
    </row>
    <row r="1690" spans="1:9">
      <c r="A1690" s="90">
        <v>1</v>
      </c>
      <c r="B1690" s="91"/>
      <c r="C1690" s="89" t="s">
        <v>134</v>
      </c>
      <c r="D1690" s="112">
        <v>200</v>
      </c>
      <c r="E1690" s="112">
        <v>150</v>
      </c>
      <c r="F1690" s="112">
        <v>20</v>
      </c>
      <c r="G1690" s="96">
        <v>1648</v>
      </c>
      <c r="H1690" s="96">
        <f t="shared" si="88"/>
        <v>988800</v>
      </c>
      <c r="I1690" s="96">
        <f t="shared" ref="I1690:I1698" si="89">IF(H1690="-","-",A1690*H1690)</f>
        <v>988800</v>
      </c>
    </row>
    <row r="1691" spans="1:9">
      <c r="A1691" s="90">
        <v>1</v>
      </c>
      <c r="B1691" s="91"/>
      <c r="C1691" s="89" t="s">
        <v>134</v>
      </c>
      <c r="D1691" s="112">
        <v>200</v>
      </c>
      <c r="E1691" s="112">
        <v>160</v>
      </c>
      <c r="F1691" s="112">
        <v>20</v>
      </c>
      <c r="G1691" s="96">
        <v>1648</v>
      </c>
      <c r="H1691" s="96">
        <f t="shared" si="88"/>
        <v>1054720</v>
      </c>
      <c r="I1691" s="96">
        <f t="shared" si="89"/>
        <v>1054720</v>
      </c>
    </row>
    <row r="1692" spans="1:9">
      <c r="A1692" s="90">
        <v>1</v>
      </c>
      <c r="B1692" s="91"/>
      <c r="C1692" s="89" t="s">
        <v>134</v>
      </c>
      <c r="D1692" s="112">
        <v>200</v>
      </c>
      <c r="E1692" s="112">
        <v>180</v>
      </c>
      <c r="F1692" s="112">
        <v>20</v>
      </c>
      <c r="G1692" s="96">
        <v>1648</v>
      </c>
      <c r="H1692" s="96">
        <f t="shared" si="88"/>
        <v>1186560</v>
      </c>
      <c r="I1692" s="96">
        <f t="shared" si="89"/>
        <v>1186560</v>
      </c>
    </row>
    <row r="1693" spans="1:9">
      <c r="A1693" s="90"/>
      <c r="B1693" s="91"/>
      <c r="C1693" s="89"/>
      <c r="D1693" s="112"/>
      <c r="E1693" s="112"/>
      <c r="F1693" s="112"/>
      <c r="G1693" s="96"/>
      <c r="H1693" s="96">
        <f t="shared" si="88"/>
        <v>0</v>
      </c>
      <c r="I1693" s="96">
        <f t="shared" si="89"/>
        <v>0</v>
      </c>
    </row>
    <row r="1694" spans="1:9">
      <c r="A1694" s="90"/>
      <c r="B1694" s="91"/>
      <c r="C1694" s="89"/>
      <c r="D1694" s="112"/>
      <c r="E1694" s="112"/>
      <c r="F1694" s="112"/>
      <c r="G1694" s="96"/>
      <c r="H1694" s="96">
        <f t="shared" si="88"/>
        <v>0</v>
      </c>
      <c r="I1694" s="96">
        <f t="shared" si="89"/>
        <v>0</v>
      </c>
    </row>
    <row r="1695" spans="1:9">
      <c r="A1695" s="90"/>
      <c r="B1695" s="91"/>
      <c r="C1695" s="89"/>
      <c r="D1695" s="112"/>
      <c r="E1695" s="112"/>
      <c r="F1695" s="112"/>
      <c r="G1695" s="96"/>
      <c r="H1695" s="96">
        <f t="shared" si="88"/>
        <v>0</v>
      </c>
      <c r="I1695" s="96">
        <f t="shared" si="89"/>
        <v>0</v>
      </c>
    </row>
    <row r="1696" spans="1:9">
      <c r="A1696" s="90"/>
      <c r="B1696" s="91"/>
      <c r="C1696" s="89"/>
      <c r="D1696" s="112"/>
      <c r="E1696" s="112"/>
      <c r="F1696" s="112"/>
      <c r="G1696" s="96"/>
      <c r="H1696" s="96">
        <f t="shared" si="88"/>
        <v>0</v>
      </c>
      <c r="I1696" s="96">
        <f t="shared" si="89"/>
        <v>0</v>
      </c>
    </row>
    <row r="1697" spans="1:9">
      <c r="A1697" s="90"/>
      <c r="B1697" s="91"/>
      <c r="C1697" s="89"/>
      <c r="D1697" s="112"/>
      <c r="E1697" s="112"/>
      <c r="F1697" s="112"/>
      <c r="G1697" s="96"/>
      <c r="H1697" s="96">
        <f t="shared" si="88"/>
        <v>0</v>
      </c>
      <c r="I1697" s="96">
        <f t="shared" si="89"/>
        <v>0</v>
      </c>
    </row>
    <row r="1698" spans="1:9">
      <c r="A1698" s="90">
        <f>SUM(A1688:A1697)</f>
        <v>7</v>
      </c>
      <c r="B1698" s="91"/>
      <c r="C1698" s="74" t="str">
        <f>IF(B1698&lt;1,"-",VLOOKUP(B1698,HARGA01,2))</f>
        <v>-</v>
      </c>
      <c r="D1698" s="74"/>
      <c r="E1698" s="74"/>
      <c r="F1698" s="74"/>
      <c r="G1698" s="74"/>
      <c r="H1698" s="96">
        <f t="shared" si="88"/>
        <v>0</v>
      </c>
      <c r="I1698" s="96">
        <f t="shared" si="89"/>
        <v>0</v>
      </c>
    </row>
    <row r="1699" spans="1:9">
      <c r="A1699" s="634" t="s">
        <v>23</v>
      </c>
      <c r="B1699" s="635"/>
      <c r="C1699" s="634"/>
      <c r="D1699" s="634"/>
      <c r="E1699" s="634"/>
      <c r="F1699" s="634"/>
      <c r="G1699" s="634"/>
      <c r="H1699" s="636"/>
      <c r="I1699" s="96">
        <f>SUM(I1688:I1698)</f>
        <v>6229440</v>
      </c>
    </row>
    <row r="1700" spans="1:9">
      <c r="A1700" s="28" t="s">
        <v>24</v>
      </c>
      <c r="B1700" s="28"/>
      <c r="H1700" s="637" t="s">
        <v>25</v>
      </c>
      <c r="I1700" s="637"/>
    </row>
    <row r="1703" spans="1:9">
      <c r="H1703" s="94" t="s">
        <v>27</v>
      </c>
      <c r="I1703" s="25"/>
    </row>
    <row r="1704" spans="1:9" ht="27">
      <c r="A1704" s="2" t="s">
        <v>0</v>
      </c>
      <c r="B1704" s="2"/>
    </row>
    <row r="1705" spans="1:9">
      <c r="A1705" t="s">
        <v>1</v>
      </c>
      <c r="C1705" t="s">
        <v>2</v>
      </c>
      <c r="H1705" t="s">
        <v>3</v>
      </c>
      <c r="I1705" s="73">
        <v>44389</v>
      </c>
    </row>
    <row r="1706" spans="1:9">
      <c r="C1706" t="s">
        <v>4</v>
      </c>
      <c r="H1706" t="s">
        <v>5</v>
      </c>
      <c r="I1706" t="s">
        <v>48</v>
      </c>
    </row>
    <row r="1707" spans="1:9">
      <c r="C1707" t="s">
        <v>7</v>
      </c>
      <c r="H1707" s="86"/>
      <c r="I1707" s="86" t="s">
        <v>137</v>
      </c>
    </row>
    <row r="1708" spans="1:9">
      <c r="A1708" t="s">
        <v>8</v>
      </c>
      <c r="C1708" s="87" t="s">
        <v>9</v>
      </c>
      <c r="D1708" s="87"/>
      <c r="E1708" s="87"/>
      <c r="F1708" s="87"/>
      <c r="G1708" s="87"/>
      <c r="H1708" t="s">
        <v>10</v>
      </c>
      <c r="I1708" s="114" t="s">
        <v>11</v>
      </c>
    </row>
    <row r="1709" spans="1:9">
      <c r="A1709" t="s">
        <v>12</v>
      </c>
      <c r="C1709" t="s">
        <v>13</v>
      </c>
      <c r="H1709" t="s">
        <v>14</v>
      </c>
      <c r="I1709" t="s">
        <v>11</v>
      </c>
    </row>
    <row r="1710" spans="1:9">
      <c r="A1710" s="88" t="s">
        <v>15</v>
      </c>
      <c r="B1710" s="89"/>
      <c r="C1710" s="74" t="s">
        <v>16</v>
      </c>
      <c r="D1710" s="74" t="s">
        <v>81</v>
      </c>
      <c r="E1710" s="74" t="s">
        <v>82</v>
      </c>
      <c r="F1710" s="74" t="s">
        <v>83</v>
      </c>
      <c r="G1710" s="74" t="s">
        <v>84</v>
      </c>
      <c r="H1710" s="95" t="s">
        <v>85</v>
      </c>
      <c r="I1710" s="95" t="s">
        <v>18</v>
      </c>
    </row>
    <row r="1711" spans="1:9">
      <c r="A1711" s="90">
        <v>6</v>
      </c>
      <c r="B1711" s="91"/>
      <c r="C1711" s="89" t="s">
        <v>134</v>
      </c>
      <c r="D1711" s="112">
        <v>200</v>
      </c>
      <c r="E1711" s="112">
        <v>100</v>
      </c>
      <c r="F1711" s="112">
        <v>20</v>
      </c>
      <c r="G1711" s="96">
        <v>1648</v>
      </c>
      <c r="H1711" s="96">
        <f>D1711*E1711*F1711*G1711/1000</f>
        <v>659200</v>
      </c>
      <c r="I1711" s="96">
        <f>IF(H1711="-","-",A1711*H1711)</f>
        <v>3955200</v>
      </c>
    </row>
    <row r="1712" spans="1:9">
      <c r="A1712" s="90"/>
      <c r="B1712" s="91"/>
      <c r="C1712" s="89"/>
      <c r="D1712" s="112"/>
      <c r="E1712" s="112"/>
      <c r="F1712" s="112"/>
      <c r="G1712" s="96"/>
      <c r="H1712" s="96">
        <f t="shared" ref="H1712:H1721" si="90">D1712*E1712*F1712*G1712/1000</f>
        <v>0</v>
      </c>
      <c r="I1712" s="96">
        <f>IF(H1712="-","-",A1712*H1712)</f>
        <v>0</v>
      </c>
    </row>
    <row r="1713" spans="1:9">
      <c r="A1713" s="90"/>
      <c r="B1713" s="91"/>
      <c r="C1713" s="89"/>
      <c r="D1713" s="112"/>
      <c r="E1713" s="112"/>
      <c r="F1713" s="112"/>
      <c r="G1713" s="96"/>
      <c r="H1713" s="96">
        <f t="shared" si="90"/>
        <v>0</v>
      </c>
      <c r="I1713" s="96">
        <f t="shared" ref="I1713:I1721" si="91">IF(H1713="-","-",A1713*H1713)</f>
        <v>0</v>
      </c>
    </row>
    <row r="1714" spans="1:9">
      <c r="A1714" s="90"/>
      <c r="B1714" s="91"/>
      <c r="C1714" s="89"/>
      <c r="D1714" s="112"/>
      <c r="E1714" s="112"/>
      <c r="F1714" s="112"/>
      <c r="G1714" s="96"/>
      <c r="H1714" s="96">
        <f t="shared" si="90"/>
        <v>0</v>
      </c>
      <c r="I1714" s="96">
        <f t="shared" si="91"/>
        <v>0</v>
      </c>
    </row>
    <row r="1715" spans="1:9">
      <c r="A1715" s="90"/>
      <c r="B1715" s="91"/>
      <c r="C1715" s="89"/>
      <c r="D1715" s="112"/>
      <c r="E1715" s="112"/>
      <c r="F1715" s="112"/>
      <c r="G1715" s="96"/>
      <c r="H1715" s="96">
        <f t="shared" si="90"/>
        <v>0</v>
      </c>
      <c r="I1715" s="96">
        <f t="shared" si="91"/>
        <v>0</v>
      </c>
    </row>
    <row r="1716" spans="1:9">
      <c r="A1716" s="90"/>
      <c r="B1716" s="91"/>
      <c r="C1716" s="89"/>
      <c r="D1716" s="112"/>
      <c r="E1716" s="112"/>
      <c r="F1716" s="112"/>
      <c r="G1716" s="96"/>
      <c r="H1716" s="96">
        <f t="shared" si="90"/>
        <v>0</v>
      </c>
      <c r="I1716" s="96">
        <f t="shared" si="91"/>
        <v>0</v>
      </c>
    </row>
    <row r="1717" spans="1:9">
      <c r="A1717" s="90"/>
      <c r="B1717" s="91"/>
      <c r="C1717" s="89"/>
      <c r="D1717" s="112"/>
      <c r="E1717" s="112"/>
      <c r="F1717" s="112"/>
      <c r="G1717" s="96"/>
      <c r="H1717" s="96">
        <f t="shared" si="90"/>
        <v>0</v>
      </c>
      <c r="I1717" s="96">
        <f t="shared" si="91"/>
        <v>0</v>
      </c>
    </row>
    <row r="1718" spans="1:9">
      <c r="A1718" s="90"/>
      <c r="B1718" s="91"/>
      <c r="C1718" s="89"/>
      <c r="D1718" s="112"/>
      <c r="E1718" s="112"/>
      <c r="F1718" s="112"/>
      <c r="G1718" s="96"/>
      <c r="H1718" s="96">
        <f t="shared" si="90"/>
        <v>0</v>
      </c>
      <c r="I1718" s="96">
        <f t="shared" si="91"/>
        <v>0</v>
      </c>
    </row>
    <row r="1719" spans="1:9">
      <c r="A1719" s="90"/>
      <c r="B1719" s="91"/>
      <c r="C1719" s="89"/>
      <c r="D1719" s="112"/>
      <c r="E1719" s="112"/>
      <c r="F1719" s="112"/>
      <c r="G1719" s="96"/>
      <c r="H1719" s="96">
        <f t="shared" si="90"/>
        <v>0</v>
      </c>
      <c r="I1719" s="96">
        <f t="shared" si="91"/>
        <v>0</v>
      </c>
    </row>
    <row r="1720" spans="1:9">
      <c r="A1720" s="90"/>
      <c r="B1720" s="91"/>
      <c r="C1720" s="89"/>
      <c r="D1720" s="112"/>
      <c r="E1720" s="112"/>
      <c r="F1720" s="112"/>
      <c r="G1720" s="96"/>
      <c r="H1720" s="96">
        <f t="shared" si="90"/>
        <v>0</v>
      </c>
      <c r="I1720" s="96">
        <f t="shared" si="91"/>
        <v>0</v>
      </c>
    </row>
    <row r="1721" spans="1:9">
      <c r="A1721" s="90">
        <f>SUM(A1711:A1720)</f>
        <v>6</v>
      </c>
      <c r="B1721" s="91"/>
      <c r="C1721" s="74" t="str">
        <f>IF(B1721&lt;1,"-",VLOOKUP(B1721,HARGA01,2))</f>
        <v>-</v>
      </c>
      <c r="D1721" s="74"/>
      <c r="E1721" s="74"/>
      <c r="F1721" s="74"/>
      <c r="G1721" s="74"/>
      <c r="H1721" s="96">
        <f t="shared" si="90"/>
        <v>0</v>
      </c>
      <c r="I1721" s="96">
        <f t="shared" si="91"/>
        <v>0</v>
      </c>
    </row>
    <row r="1722" spans="1:9">
      <c r="A1722" s="634" t="s">
        <v>23</v>
      </c>
      <c r="B1722" s="635"/>
      <c r="C1722" s="634"/>
      <c r="D1722" s="634"/>
      <c r="E1722" s="634"/>
      <c r="F1722" s="634"/>
      <c r="G1722" s="634"/>
      <c r="H1722" s="636"/>
      <c r="I1722" s="96">
        <f>SUM(I1711:I1721)</f>
        <v>3955200</v>
      </c>
    </row>
    <row r="1723" spans="1:9">
      <c r="A1723" s="28" t="s">
        <v>24</v>
      </c>
      <c r="B1723" s="28"/>
      <c r="H1723" s="637" t="s">
        <v>25</v>
      </c>
      <c r="I1723" s="637"/>
    </row>
    <row r="1726" spans="1:9">
      <c r="H1726" s="94" t="s">
        <v>27</v>
      </c>
      <c r="I1726" s="25"/>
    </row>
    <row r="1727" spans="1:9" ht="27">
      <c r="A1727" s="2" t="s">
        <v>0</v>
      </c>
      <c r="B1727" s="2"/>
    </row>
    <row r="1728" spans="1:9">
      <c r="A1728" t="s">
        <v>1</v>
      </c>
      <c r="C1728" t="s">
        <v>2</v>
      </c>
      <c r="H1728" t="s">
        <v>3</v>
      </c>
      <c r="I1728" s="73">
        <v>44396</v>
      </c>
    </row>
    <row r="1729" spans="1:9">
      <c r="C1729" t="s">
        <v>4</v>
      </c>
      <c r="H1729" t="s">
        <v>5</v>
      </c>
      <c r="I1729" t="s">
        <v>48</v>
      </c>
    </row>
    <row r="1730" spans="1:9">
      <c r="C1730" t="s">
        <v>7</v>
      </c>
      <c r="H1730" s="86"/>
      <c r="I1730" s="86" t="s">
        <v>137</v>
      </c>
    </row>
    <row r="1731" spans="1:9">
      <c r="A1731" t="s">
        <v>8</v>
      </c>
      <c r="C1731" s="87" t="s">
        <v>9</v>
      </c>
      <c r="D1731" s="87"/>
      <c r="E1731" s="87"/>
      <c r="F1731" s="87"/>
      <c r="G1731" s="87"/>
      <c r="H1731" t="s">
        <v>10</v>
      </c>
      <c r="I1731" s="114" t="s">
        <v>11</v>
      </c>
    </row>
    <row r="1732" spans="1:9">
      <c r="A1732" t="s">
        <v>12</v>
      </c>
      <c r="C1732" t="s">
        <v>13</v>
      </c>
      <c r="H1732" t="s">
        <v>14</v>
      </c>
      <c r="I1732" t="s">
        <v>11</v>
      </c>
    </row>
    <row r="1733" spans="1:9">
      <c r="A1733" s="88" t="s">
        <v>15</v>
      </c>
      <c r="B1733" s="89"/>
      <c r="C1733" s="74" t="s">
        <v>16</v>
      </c>
      <c r="D1733" s="74" t="s">
        <v>81</v>
      </c>
      <c r="E1733" s="74" t="s">
        <v>82</v>
      </c>
      <c r="F1733" s="74" t="s">
        <v>83</v>
      </c>
      <c r="G1733" s="74" t="s">
        <v>84</v>
      </c>
      <c r="H1733" s="95" t="s">
        <v>85</v>
      </c>
      <c r="I1733" s="95" t="s">
        <v>18</v>
      </c>
    </row>
    <row r="1734" spans="1:9">
      <c r="A1734" s="90">
        <v>4</v>
      </c>
      <c r="B1734" s="91"/>
      <c r="C1734" s="89" t="s">
        <v>134</v>
      </c>
      <c r="D1734" s="112">
        <v>200</v>
      </c>
      <c r="E1734" s="112">
        <v>140</v>
      </c>
      <c r="F1734" s="112">
        <v>30</v>
      </c>
      <c r="G1734" s="96">
        <v>1648</v>
      </c>
      <c r="H1734" s="96">
        <f>D1734*E1734*F1734*G1734/1000</f>
        <v>1384320</v>
      </c>
      <c r="I1734" s="96">
        <f>IF(H1734="-","-",A1734*H1734)</f>
        <v>5537280</v>
      </c>
    </row>
    <row r="1735" spans="1:9">
      <c r="A1735" s="90">
        <v>1</v>
      </c>
      <c r="B1735" s="91"/>
      <c r="C1735" s="89" t="s">
        <v>134</v>
      </c>
      <c r="D1735" s="112">
        <v>200</v>
      </c>
      <c r="E1735" s="112">
        <v>160</v>
      </c>
      <c r="F1735" s="112">
        <v>30</v>
      </c>
      <c r="G1735" s="96">
        <v>1648</v>
      </c>
      <c r="H1735" s="96">
        <f>D1735*E1735*F1735*G1735/1000</f>
        <v>1582080</v>
      </c>
      <c r="I1735" s="96">
        <f>IF(H1735="-","-",A1735*H1735)</f>
        <v>1582080</v>
      </c>
    </row>
    <row r="1736" spans="1:9">
      <c r="A1736" s="90"/>
      <c r="B1736" s="91"/>
      <c r="C1736" s="89"/>
      <c r="D1736" s="112"/>
      <c r="E1736" s="112"/>
      <c r="F1736" s="112"/>
      <c r="G1736" s="96"/>
      <c r="H1736" s="96"/>
      <c r="I1736" s="96">
        <f t="shared" ref="I1736:I1744" si="92">IF(H1736="-","-",A1736*H1736)</f>
        <v>0</v>
      </c>
    </row>
    <row r="1737" spans="1:9">
      <c r="A1737" s="90"/>
      <c r="B1737" s="91"/>
      <c r="C1737" s="89"/>
      <c r="D1737" s="112"/>
      <c r="E1737" s="112"/>
      <c r="F1737" s="112"/>
      <c r="G1737" s="96"/>
      <c r="H1737" s="96">
        <f t="shared" ref="H1737:H1744" si="93">D1737*E1737*F1737*G1737/1000</f>
        <v>0</v>
      </c>
      <c r="I1737" s="96">
        <f t="shared" si="92"/>
        <v>0</v>
      </c>
    </row>
    <row r="1738" spans="1:9">
      <c r="A1738" s="90"/>
      <c r="B1738" s="91"/>
      <c r="C1738" s="89"/>
      <c r="D1738" s="112"/>
      <c r="E1738" s="112"/>
      <c r="F1738" s="112"/>
      <c r="G1738" s="96"/>
      <c r="H1738" s="96">
        <f t="shared" si="93"/>
        <v>0</v>
      </c>
      <c r="I1738" s="96">
        <f t="shared" si="92"/>
        <v>0</v>
      </c>
    </row>
    <row r="1739" spans="1:9">
      <c r="A1739" s="90"/>
      <c r="B1739" s="91"/>
      <c r="C1739" s="89"/>
      <c r="D1739" s="112"/>
      <c r="E1739" s="112"/>
      <c r="F1739" s="112"/>
      <c r="G1739" s="96"/>
      <c r="H1739" s="96">
        <f t="shared" si="93"/>
        <v>0</v>
      </c>
      <c r="I1739" s="96">
        <f t="shared" si="92"/>
        <v>0</v>
      </c>
    </row>
    <row r="1740" spans="1:9">
      <c r="A1740" s="90"/>
      <c r="B1740" s="91"/>
      <c r="C1740" s="89"/>
      <c r="D1740" s="112"/>
      <c r="E1740" s="112"/>
      <c r="F1740" s="112"/>
      <c r="G1740" s="96"/>
      <c r="H1740" s="96">
        <f t="shared" si="93"/>
        <v>0</v>
      </c>
      <c r="I1740" s="96">
        <f t="shared" si="92"/>
        <v>0</v>
      </c>
    </row>
    <row r="1741" spans="1:9">
      <c r="A1741" s="90"/>
      <c r="B1741" s="91"/>
      <c r="C1741" s="89"/>
      <c r="D1741" s="112"/>
      <c r="E1741" s="112"/>
      <c r="F1741" s="112"/>
      <c r="G1741" s="96"/>
      <c r="H1741" s="96">
        <f t="shared" si="93"/>
        <v>0</v>
      </c>
      <c r="I1741" s="96">
        <f t="shared" si="92"/>
        <v>0</v>
      </c>
    </row>
    <row r="1742" spans="1:9">
      <c r="A1742" s="90"/>
      <c r="B1742" s="91"/>
      <c r="C1742" s="89"/>
      <c r="D1742" s="112"/>
      <c r="E1742" s="112"/>
      <c r="F1742" s="112"/>
      <c r="G1742" s="96"/>
      <c r="H1742" s="96">
        <f t="shared" si="93"/>
        <v>0</v>
      </c>
      <c r="I1742" s="96">
        <f t="shared" si="92"/>
        <v>0</v>
      </c>
    </row>
    <row r="1743" spans="1:9">
      <c r="A1743" s="90"/>
      <c r="B1743" s="91"/>
      <c r="C1743" s="89"/>
      <c r="D1743" s="112"/>
      <c r="E1743" s="112"/>
      <c r="F1743" s="112"/>
      <c r="G1743" s="96"/>
      <c r="H1743" s="96">
        <f t="shared" si="93"/>
        <v>0</v>
      </c>
      <c r="I1743" s="96">
        <f t="shared" si="92"/>
        <v>0</v>
      </c>
    </row>
    <row r="1744" spans="1:9">
      <c r="A1744" s="90">
        <f>SUM(A1734:A1743)</f>
        <v>5</v>
      </c>
      <c r="B1744" s="91"/>
      <c r="C1744" s="74" t="str">
        <f>IF(B1744&lt;1,"-",VLOOKUP(B1744,HARGA01,2))</f>
        <v>-</v>
      </c>
      <c r="D1744" s="74"/>
      <c r="E1744" s="74"/>
      <c r="F1744" s="74"/>
      <c r="G1744" s="74"/>
      <c r="H1744" s="96">
        <f t="shared" si="93"/>
        <v>0</v>
      </c>
      <c r="I1744" s="96">
        <f t="shared" si="92"/>
        <v>0</v>
      </c>
    </row>
    <row r="1745" spans="1:9">
      <c r="A1745" s="634" t="s">
        <v>23</v>
      </c>
      <c r="B1745" s="635"/>
      <c r="C1745" s="634"/>
      <c r="D1745" s="634"/>
      <c r="E1745" s="634"/>
      <c r="F1745" s="634"/>
      <c r="G1745" s="634"/>
      <c r="H1745" s="636"/>
      <c r="I1745" s="96">
        <f>SUM(I1734:I1744)</f>
        <v>7119360</v>
      </c>
    </row>
    <row r="1746" spans="1:9">
      <c r="A1746" s="28" t="s">
        <v>24</v>
      </c>
      <c r="B1746" s="28"/>
      <c r="H1746" s="637" t="s">
        <v>25</v>
      </c>
      <c r="I1746" s="637"/>
    </row>
    <row r="1749" spans="1:9">
      <c r="H1749" s="94" t="s">
        <v>27</v>
      </c>
      <c r="I1749" s="25"/>
    </row>
    <row r="1750" spans="1:9" ht="27">
      <c r="A1750" s="2" t="s">
        <v>0</v>
      </c>
      <c r="B1750" s="2"/>
    </row>
    <row r="1751" spans="1:9">
      <c r="A1751" t="s">
        <v>1</v>
      </c>
      <c r="C1751" t="s">
        <v>2</v>
      </c>
      <c r="H1751" t="s">
        <v>3</v>
      </c>
      <c r="I1751" s="73">
        <v>44401</v>
      </c>
    </row>
    <row r="1752" spans="1:9">
      <c r="C1752" t="s">
        <v>4</v>
      </c>
      <c r="H1752" t="s">
        <v>5</v>
      </c>
      <c r="I1752" t="s">
        <v>48</v>
      </c>
    </row>
    <row r="1753" spans="1:9">
      <c r="C1753" t="s">
        <v>7</v>
      </c>
      <c r="H1753" s="86"/>
      <c r="I1753" s="86" t="s">
        <v>137</v>
      </c>
    </row>
    <row r="1754" spans="1:9">
      <c r="A1754" t="s">
        <v>8</v>
      </c>
      <c r="C1754" s="87" t="s">
        <v>9</v>
      </c>
      <c r="D1754" s="87"/>
      <c r="E1754" s="87"/>
      <c r="F1754" s="87"/>
      <c r="G1754" s="87"/>
      <c r="H1754" t="s">
        <v>10</v>
      </c>
      <c r="I1754" s="114" t="s">
        <v>11</v>
      </c>
    </row>
    <row r="1755" spans="1:9">
      <c r="A1755" t="s">
        <v>12</v>
      </c>
      <c r="C1755" t="s">
        <v>13</v>
      </c>
      <c r="H1755" t="s">
        <v>14</v>
      </c>
      <c r="I1755" t="s">
        <v>11</v>
      </c>
    </row>
    <row r="1756" spans="1:9">
      <c r="A1756" s="88" t="s">
        <v>15</v>
      </c>
      <c r="B1756" s="89"/>
      <c r="C1756" s="74" t="s">
        <v>16</v>
      </c>
      <c r="D1756" s="74" t="s">
        <v>81</v>
      </c>
      <c r="E1756" s="74" t="s">
        <v>82</v>
      </c>
      <c r="F1756" s="74" t="s">
        <v>83</v>
      </c>
      <c r="G1756" s="74" t="s">
        <v>84</v>
      </c>
      <c r="H1756" s="95" t="s">
        <v>85</v>
      </c>
      <c r="I1756" s="95" t="s">
        <v>18</v>
      </c>
    </row>
    <row r="1757" spans="1:9">
      <c r="A1757" s="90">
        <v>10</v>
      </c>
      <c r="B1757" s="91"/>
      <c r="C1757" s="89" t="s">
        <v>134</v>
      </c>
      <c r="D1757" s="112">
        <v>200</v>
      </c>
      <c r="E1757" s="112">
        <v>120</v>
      </c>
      <c r="F1757" s="112">
        <v>20</v>
      </c>
      <c r="G1757" s="96">
        <v>1648</v>
      </c>
      <c r="H1757" s="96">
        <f>D1757*E1757*F1757*G1757/1000</f>
        <v>791040</v>
      </c>
      <c r="I1757" s="96">
        <f>IF(H1757="-","-",A1757*H1757)</f>
        <v>7910400</v>
      </c>
    </row>
    <row r="1758" spans="1:9">
      <c r="A1758" s="90">
        <v>10</v>
      </c>
      <c r="B1758" s="91"/>
      <c r="C1758" s="89" t="s">
        <v>134</v>
      </c>
      <c r="D1758" s="112">
        <v>200</v>
      </c>
      <c r="E1758" s="112">
        <v>160</v>
      </c>
      <c r="F1758" s="112">
        <v>20</v>
      </c>
      <c r="G1758" s="96">
        <v>1648</v>
      </c>
      <c r="H1758" s="96">
        <f>D1758*E1758*F1758*G1758/1000</f>
        <v>1054720</v>
      </c>
      <c r="I1758" s="96">
        <f>IF(H1758="-","-",A1758*H1758)</f>
        <v>10547200</v>
      </c>
    </row>
    <row r="1759" spans="1:9">
      <c r="A1759" s="90"/>
      <c r="B1759" s="91"/>
      <c r="C1759" s="89"/>
      <c r="D1759" s="112"/>
      <c r="E1759" s="112"/>
      <c r="F1759" s="112"/>
      <c r="G1759" s="96"/>
      <c r="H1759" s="96"/>
      <c r="I1759" s="96">
        <f t="shared" ref="I1759:I1767" si="94">IF(H1759="-","-",A1759*H1759)</f>
        <v>0</v>
      </c>
    </row>
    <row r="1760" spans="1:9">
      <c r="A1760" s="90"/>
      <c r="B1760" s="91"/>
      <c r="C1760" s="89"/>
      <c r="D1760" s="112"/>
      <c r="E1760" s="112"/>
      <c r="F1760" s="112"/>
      <c r="G1760" s="96"/>
      <c r="H1760" s="96">
        <f t="shared" ref="H1760:H1767" si="95">D1760*E1760*F1760*G1760/1000</f>
        <v>0</v>
      </c>
      <c r="I1760" s="96">
        <f t="shared" si="94"/>
        <v>0</v>
      </c>
    </row>
    <row r="1761" spans="1:9">
      <c r="A1761" s="90"/>
      <c r="B1761" s="91"/>
      <c r="C1761" s="89"/>
      <c r="D1761" s="112"/>
      <c r="E1761" s="112"/>
      <c r="F1761" s="112"/>
      <c r="G1761" s="96"/>
      <c r="H1761" s="96">
        <f t="shared" si="95"/>
        <v>0</v>
      </c>
      <c r="I1761" s="96">
        <f t="shared" si="94"/>
        <v>0</v>
      </c>
    </row>
    <row r="1762" spans="1:9">
      <c r="A1762" s="90"/>
      <c r="B1762" s="91"/>
      <c r="C1762" s="89"/>
      <c r="D1762" s="112"/>
      <c r="E1762" s="112"/>
      <c r="F1762" s="112"/>
      <c r="G1762" s="96"/>
      <c r="H1762" s="96">
        <f t="shared" si="95"/>
        <v>0</v>
      </c>
      <c r="I1762" s="96">
        <f t="shared" si="94"/>
        <v>0</v>
      </c>
    </row>
    <row r="1763" spans="1:9">
      <c r="A1763" s="90"/>
      <c r="B1763" s="91"/>
      <c r="C1763" s="89"/>
      <c r="D1763" s="112"/>
      <c r="E1763" s="112"/>
      <c r="F1763" s="112"/>
      <c r="G1763" s="96"/>
      <c r="H1763" s="96">
        <f t="shared" si="95"/>
        <v>0</v>
      </c>
      <c r="I1763" s="96">
        <f t="shared" si="94"/>
        <v>0</v>
      </c>
    </row>
    <row r="1764" spans="1:9">
      <c r="A1764" s="90"/>
      <c r="B1764" s="91"/>
      <c r="C1764" s="89"/>
      <c r="D1764" s="112"/>
      <c r="E1764" s="112"/>
      <c r="F1764" s="112"/>
      <c r="G1764" s="96"/>
      <c r="H1764" s="96">
        <f t="shared" si="95"/>
        <v>0</v>
      </c>
      <c r="I1764" s="96">
        <f t="shared" si="94"/>
        <v>0</v>
      </c>
    </row>
    <row r="1765" spans="1:9">
      <c r="A1765" s="90"/>
      <c r="B1765" s="91"/>
      <c r="C1765" s="89"/>
      <c r="D1765" s="112"/>
      <c r="E1765" s="112"/>
      <c r="F1765" s="112"/>
      <c r="G1765" s="96"/>
      <c r="H1765" s="96">
        <f t="shared" si="95"/>
        <v>0</v>
      </c>
      <c r="I1765" s="96">
        <f t="shared" si="94"/>
        <v>0</v>
      </c>
    </row>
    <row r="1766" spans="1:9">
      <c r="A1766" s="90"/>
      <c r="B1766" s="91"/>
      <c r="C1766" s="89"/>
      <c r="D1766" s="112"/>
      <c r="E1766" s="112"/>
      <c r="F1766" s="112"/>
      <c r="G1766" s="96"/>
      <c r="H1766" s="96">
        <f t="shared" si="95"/>
        <v>0</v>
      </c>
      <c r="I1766" s="96">
        <f t="shared" si="94"/>
        <v>0</v>
      </c>
    </row>
    <row r="1767" spans="1:9">
      <c r="A1767" s="90">
        <f>SUM(A1757:A1766)</f>
        <v>20</v>
      </c>
      <c r="B1767" s="91"/>
      <c r="C1767" s="74" t="str">
        <f>IF(B1767&lt;1,"-",VLOOKUP(B1767,HARGA01,2))</f>
        <v>-</v>
      </c>
      <c r="D1767" s="74"/>
      <c r="E1767" s="74"/>
      <c r="F1767" s="74"/>
      <c r="G1767" s="74"/>
      <c r="H1767" s="96">
        <f t="shared" si="95"/>
        <v>0</v>
      </c>
      <c r="I1767" s="96">
        <f t="shared" si="94"/>
        <v>0</v>
      </c>
    </row>
    <row r="1768" spans="1:9">
      <c r="A1768" s="634" t="s">
        <v>23</v>
      </c>
      <c r="B1768" s="635"/>
      <c r="C1768" s="634"/>
      <c r="D1768" s="634"/>
      <c r="E1768" s="634"/>
      <c r="F1768" s="634"/>
      <c r="G1768" s="634"/>
      <c r="H1768" s="636"/>
      <c r="I1768" s="96">
        <f>SUM(I1757:I1767)</f>
        <v>18457600</v>
      </c>
    </row>
    <row r="1769" spans="1:9">
      <c r="A1769" s="28" t="s">
        <v>24</v>
      </c>
      <c r="B1769" s="28"/>
      <c r="H1769" s="637" t="s">
        <v>25</v>
      </c>
      <c r="I1769" s="637"/>
    </row>
    <row r="1772" spans="1:9">
      <c r="H1772" s="94" t="s">
        <v>27</v>
      </c>
      <c r="I1772" s="25"/>
    </row>
    <row r="1773" spans="1:9" ht="27">
      <c r="A1773" s="2" t="s">
        <v>0</v>
      </c>
      <c r="B1773" s="2"/>
    </row>
    <row r="1774" spans="1:9">
      <c r="A1774" t="s">
        <v>1</v>
      </c>
      <c r="C1774" t="s">
        <v>2</v>
      </c>
      <c r="H1774" t="s">
        <v>3</v>
      </c>
      <c r="I1774" s="73">
        <v>44401</v>
      </c>
    </row>
    <row r="1775" spans="1:9">
      <c r="C1775" t="s">
        <v>4</v>
      </c>
      <c r="H1775" t="s">
        <v>5</v>
      </c>
      <c r="I1775" t="s">
        <v>48</v>
      </c>
    </row>
    <row r="1776" spans="1:9">
      <c r="C1776" t="s">
        <v>7</v>
      </c>
      <c r="H1776" s="86"/>
      <c r="I1776" s="86" t="s">
        <v>137</v>
      </c>
    </row>
    <row r="1777" spans="1:9">
      <c r="A1777" t="s">
        <v>8</v>
      </c>
      <c r="C1777" s="87" t="s">
        <v>9</v>
      </c>
      <c r="D1777" s="87"/>
      <c r="E1777" s="87"/>
      <c r="F1777" s="87"/>
      <c r="G1777" s="87"/>
      <c r="H1777" t="s">
        <v>10</v>
      </c>
      <c r="I1777" s="114" t="s">
        <v>11</v>
      </c>
    </row>
    <row r="1778" spans="1:9">
      <c r="A1778" t="s">
        <v>12</v>
      </c>
      <c r="C1778" t="s">
        <v>13</v>
      </c>
      <c r="H1778" t="s">
        <v>14</v>
      </c>
      <c r="I1778" t="s">
        <v>11</v>
      </c>
    </row>
    <row r="1779" spans="1:9">
      <c r="A1779" s="88" t="s">
        <v>15</v>
      </c>
      <c r="B1779" s="89"/>
      <c r="C1779" s="74" t="s">
        <v>16</v>
      </c>
      <c r="D1779" s="74" t="s">
        <v>81</v>
      </c>
      <c r="E1779" s="74" t="s">
        <v>82</v>
      </c>
      <c r="F1779" s="74" t="s">
        <v>83</v>
      </c>
      <c r="G1779" s="74" t="s">
        <v>84</v>
      </c>
      <c r="H1779" s="95" t="s">
        <v>85</v>
      </c>
      <c r="I1779" s="95" t="s">
        <v>18</v>
      </c>
    </row>
    <row r="1780" spans="1:9">
      <c r="A1780" s="90">
        <v>10</v>
      </c>
      <c r="B1780" s="91"/>
      <c r="C1780" s="89" t="s">
        <v>134</v>
      </c>
      <c r="D1780" s="112">
        <v>200</v>
      </c>
      <c r="E1780" s="112">
        <v>140</v>
      </c>
      <c r="F1780" s="112">
        <v>20</v>
      </c>
      <c r="G1780" s="96">
        <v>1648</v>
      </c>
      <c r="H1780" s="96">
        <f>D1780*E1780*F1780*G1780/1000</f>
        <v>922880</v>
      </c>
      <c r="I1780" s="96">
        <f>IF(H1780="-","-",A1780*H1780)</f>
        <v>9228800</v>
      </c>
    </row>
    <row r="1781" spans="1:9">
      <c r="A1781" s="90">
        <v>1</v>
      </c>
      <c r="B1781" s="91"/>
      <c r="C1781" s="89" t="s">
        <v>134</v>
      </c>
      <c r="D1781" s="112">
        <v>200</v>
      </c>
      <c r="E1781" s="112">
        <v>160</v>
      </c>
      <c r="F1781" s="112">
        <v>30</v>
      </c>
      <c r="G1781" s="96">
        <v>1648</v>
      </c>
      <c r="H1781" s="96">
        <f>D1781*E1781*F1781*G1781/1000</f>
        <v>1582080</v>
      </c>
      <c r="I1781" s="96">
        <f>IF(H1781="-","-",A1781*H1781)</f>
        <v>1582080</v>
      </c>
    </row>
    <row r="1782" spans="1:9">
      <c r="A1782" s="90">
        <v>5</v>
      </c>
      <c r="B1782" s="91"/>
      <c r="C1782" s="89" t="s">
        <v>134</v>
      </c>
      <c r="D1782" s="112">
        <v>200</v>
      </c>
      <c r="E1782" s="112">
        <v>120</v>
      </c>
      <c r="F1782" s="112">
        <v>15</v>
      </c>
      <c r="G1782" s="96">
        <v>1648</v>
      </c>
      <c r="H1782" s="96">
        <f>D1782*E1782*F1782*G1782/1000</f>
        <v>593280</v>
      </c>
      <c r="I1782" s="96">
        <f t="shared" ref="I1782:I1790" si="96">IF(H1782="-","-",A1782*H1782)</f>
        <v>2966400</v>
      </c>
    </row>
    <row r="1783" spans="1:9">
      <c r="A1783" s="90">
        <v>1</v>
      </c>
      <c r="B1783" s="91"/>
      <c r="C1783" s="89" t="s">
        <v>134</v>
      </c>
      <c r="D1783" s="112">
        <v>200</v>
      </c>
      <c r="E1783" s="112">
        <v>140</v>
      </c>
      <c r="F1783" s="112">
        <v>15</v>
      </c>
      <c r="G1783" s="96">
        <v>1648</v>
      </c>
      <c r="H1783" s="96">
        <f>D1783*E1783*F1783*G1783/1000</f>
        <v>692160</v>
      </c>
      <c r="I1783" s="96">
        <f t="shared" si="96"/>
        <v>692160</v>
      </c>
    </row>
    <row r="1784" spans="1:9">
      <c r="A1784" s="90"/>
      <c r="B1784" s="91"/>
      <c r="C1784" s="89"/>
      <c r="D1784" s="112"/>
      <c r="E1784" s="112"/>
      <c r="F1784" s="112"/>
      <c r="G1784" s="96"/>
      <c r="H1784" s="96">
        <f t="shared" ref="H1784:H1790" si="97">D1784*E1784*F1784*G1784/1000</f>
        <v>0</v>
      </c>
      <c r="I1784" s="96">
        <f t="shared" si="96"/>
        <v>0</v>
      </c>
    </row>
    <row r="1785" spans="1:9">
      <c r="A1785" s="90"/>
      <c r="B1785" s="91"/>
      <c r="C1785" s="89"/>
      <c r="D1785" s="112"/>
      <c r="E1785" s="112"/>
      <c r="F1785" s="112"/>
      <c r="G1785" s="96"/>
      <c r="H1785" s="96">
        <f t="shared" si="97"/>
        <v>0</v>
      </c>
      <c r="I1785" s="96">
        <f t="shared" si="96"/>
        <v>0</v>
      </c>
    </row>
    <row r="1786" spans="1:9">
      <c r="A1786" s="90"/>
      <c r="B1786" s="91"/>
      <c r="C1786" s="89"/>
      <c r="D1786" s="112"/>
      <c r="E1786" s="112"/>
      <c r="F1786" s="112"/>
      <c r="G1786" s="96"/>
      <c r="H1786" s="96">
        <f t="shared" si="97"/>
        <v>0</v>
      </c>
      <c r="I1786" s="96">
        <f t="shared" si="96"/>
        <v>0</v>
      </c>
    </row>
    <row r="1787" spans="1:9">
      <c r="A1787" s="90"/>
      <c r="B1787" s="91"/>
      <c r="C1787" s="89"/>
      <c r="D1787" s="112"/>
      <c r="E1787" s="112"/>
      <c r="F1787" s="112"/>
      <c r="G1787" s="96"/>
      <c r="H1787" s="96">
        <f t="shared" si="97"/>
        <v>0</v>
      </c>
      <c r="I1787" s="96">
        <f t="shared" si="96"/>
        <v>0</v>
      </c>
    </row>
    <row r="1788" spans="1:9">
      <c r="A1788" s="90"/>
      <c r="B1788" s="91"/>
      <c r="C1788" s="89"/>
      <c r="D1788" s="112"/>
      <c r="E1788" s="112"/>
      <c r="F1788" s="112"/>
      <c r="G1788" s="96"/>
      <c r="H1788" s="96">
        <f t="shared" si="97"/>
        <v>0</v>
      </c>
      <c r="I1788" s="96">
        <f t="shared" si="96"/>
        <v>0</v>
      </c>
    </row>
    <row r="1789" spans="1:9">
      <c r="A1789" s="90"/>
      <c r="B1789" s="91"/>
      <c r="C1789" s="89"/>
      <c r="D1789" s="112"/>
      <c r="E1789" s="112"/>
      <c r="F1789" s="112"/>
      <c r="G1789" s="96"/>
      <c r="H1789" s="96">
        <f t="shared" si="97"/>
        <v>0</v>
      </c>
      <c r="I1789" s="96">
        <f t="shared" si="96"/>
        <v>0</v>
      </c>
    </row>
    <row r="1790" spans="1:9">
      <c r="A1790" s="90">
        <f>SUM(A1780:A1789)</f>
        <v>17</v>
      </c>
      <c r="B1790" s="91"/>
      <c r="C1790" s="74" t="str">
        <f>IF(B1790&lt;1,"-",VLOOKUP(B1790,HARGA01,2))</f>
        <v>-</v>
      </c>
      <c r="D1790" s="74"/>
      <c r="E1790" s="74"/>
      <c r="F1790" s="74"/>
      <c r="G1790" s="74"/>
      <c r="H1790" s="96">
        <f t="shared" si="97"/>
        <v>0</v>
      </c>
      <c r="I1790" s="96">
        <f t="shared" si="96"/>
        <v>0</v>
      </c>
    </row>
    <row r="1791" spans="1:9">
      <c r="A1791" s="634" t="s">
        <v>23</v>
      </c>
      <c r="B1791" s="635"/>
      <c r="C1791" s="634"/>
      <c r="D1791" s="634"/>
      <c r="E1791" s="634"/>
      <c r="F1791" s="634"/>
      <c r="G1791" s="634"/>
      <c r="H1791" s="636"/>
      <c r="I1791" s="96">
        <f>SUM(I1780:I1790)</f>
        <v>14469440</v>
      </c>
    </row>
    <row r="1792" spans="1:9">
      <c r="A1792" s="28" t="s">
        <v>24</v>
      </c>
      <c r="B1792" s="28"/>
      <c r="H1792" s="637" t="s">
        <v>25</v>
      </c>
      <c r="I1792" s="637"/>
    </row>
    <row r="1795" spans="1:9">
      <c r="H1795" s="94" t="s">
        <v>27</v>
      </c>
      <c r="I1795" s="25"/>
    </row>
    <row r="1796" spans="1:9" ht="27">
      <c r="A1796" s="2" t="s">
        <v>0</v>
      </c>
      <c r="B1796" s="2"/>
    </row>
    <row r="1797" spans="1:9">
      <c r="A1797" t="s">
        <v>1</v>
      </c>
      <c r="C1797" t="s">
        <v>2</v>
      </c>
      <c r="H1797" t="s">
        <v>3</v>
      </c>
      <c r="I1797" s="73">
        <v>44404</v>
      </c>
    </row>
    <row r="1798" spans="1:9">
      <c r="C1798" t="s">
        <v>4</v>
      </c>
      <c r="H1798" t="s">
        <v>5</v>
      </c>
      <c r="I1798" t="s">
        <v>48</v>
      </c>
    </row>
    <row r="1799" spans="1:9">
      <c r="C1799" t="s">
        <v>7</v>
      </c>
      <c r="H1799" s="86"/>
      <c r="I1799" s="86" t="s">
        <v>137</v>
      </c>
    </row>
    <row r="1800" spans="1:9">
      <c r="A1800" t="s">
        <v>8</v>
      </c>
      <c r="C1800" s="87" t="s">
        <v>9</v>
      </c>
      <c r="D1800" s="87"/>
      <c r="E1800" s="87"/>
      <c r="F1800" s="87"/>
      <c r="G1800" s="87"/>
      <c r="H1800" t="s">
        <v>10</v>
      </c>
      <c r="I1800" s="114" t="s">
        <v>11</v>
      </c>
    </row>
    <row r="1801" spans="1:9">
      <c r="A1801" t="s">
        <v>12</v>
      </c>
      <c r="C1801" t="s">
        <v>13</v>
      </c>
      <c r="H1801" t="s">
        <v>14</v>
      </c>
      <c r="I1801" t="s">
        <v>11</v>
      </c>
    </row>
    <row r="1802" spans="1:9">
      <c r="A1802" s="88" t="s">
        <v>15</v>
      </c>
      <c r="B1802" s="89"/>
      <c r="C1802" s="74" t="s">
        <v>16</v>
      </c>
      <c r="D1802" s="74" t="s">
        <v>81</v>
      </c>
      <c r="E1802" s="74" t="s">
        <v>82</v>
      </c>
      <c r="F1802" s="74" t="s">
        <v>83</v>
      </c>
      <c r="G1802" s="74" t="s">
        <v>84</v>
      </c>
      <c r="H1802" s="95" t="s">
        <v>85</v>
      </c>
      <c r="I1802" s="95" t="s">
        <v>18</v>
      </c>
    </row>
    <row r="1803" spans="1:9">
      <c r="A1803" s="90">
        <v>10</v>
      </c>
      <c r="B1803" s="91"/>
      <c r="C1803" s="89" t="s">
        <v>101</v>
      </c>
      <c r="D1803" s="112"/>
      <c r="E1803" s="112"/>
      <c r="F1803" s="112"/>
      <c r="G1803" s="96"/>
      <c r="H1803" s="96">
        <v>155000</v>
      </c>
      <c r="I1803" s="96">
        <f>IF(H1803="-","-",A1803*H1803)</f>
        <v>1550000</v>
      </c>
    </row>
    <row r="1804" spans="1:9">
      <c r="A1804" s="90"/>
      <c r="B1804" s="91"/>
      <c r="C1804" s="89"/>
      <c r="D1804" s="112"/>
      <c r="E1804" s="112"/>
      <c r="F1804" s="112"/>
      <c r="G1804" s="96"/>
      <c r="H1804" s="96">
        <f t="shared" ref="H1804:H1813" si="98">D1804*E1804*F1804*G1804/1000</f>
        <v>0</v>
      </c>
      <c r="I1804" s="96">
        <f t="shared" ref="I1804:I1813" si="99">IF(H1804="-","-",A1804*H1804)</f>
        <v>0</v>
      </c>
    </row>
    <row r="1805" spans="1:9">
      <c r="A1805" s="90"/>
      <c r="B1805" s="91"/>
      <c r="C1805" s="89"/>
      <c r="D1805" s="112"/>
      <c r="E1805" s="112"/>
      <c r="F1805" s="112"/>
      <c r="G1805" s="96"/>
      <c r="H1805" s="96">
        <f t="shared" si="98"/>
        <v>0</v>
      </c>
      <c r="I1805" s="96">
        <f t="shared" si="99"/>
        <v>0</v>
      </c>
    </row>
    <row r="1806" spans="1:9">
      <c r="A1806" s="90"/>
      <c r="B1806" s="91"/>
      <c r="C1806" s="89"/>
      <c r="D1806" s="112"/>
      <c r="E1806" s="112"/>
      <c r="F1806" s="112"/>
      <c r="G1806" s="96"/>
      <c r="H1806" s="96">
        <f t="shared" si="98"/>
        <v>0</v>
      </c>
      <c r="I1806" s="96">
        <f t="shared" si="99"/>
        <v>0</v>
      </c>
    </row>
    <row r="1807" spans="1:9">
      <c r="A1807" s="90"/>
      <c r="B1807" s="91"/>
      <c r="C1807" s="89"/>
      <c r="D1807" s="112"/>
      <c r="E1807" s="112"/>
      <c r="F1807" s="112"/>
      <c r="G1807" s="96"/>
      <c r="H1807" s="96">
        <f t="shared" si="98"/>
        <v>0</v>
      </c>
      <c r="I1807" s="96">
        <f t="shared" si="99"/>
        <v>0</v>
      </c>
    </row>
    <row r="1808" spans="1:9">
      <c r="A1808" s="90"/>
      <c r="B1808" s="91"/>
      <c r="C1808" s="89"/>
      <c r="D1808" s="112"/>
      <c r="E1808" s="112"/>
      <c r="F1808" s="112"/>
      <c r="G1808" s="96"/>
      <c r="H1808" s="96">
        <f t="shared" si="98"/>
        <v>0</v>
      </c>
      <c r="I1808" s="96">
        <f t="shared" si="99"/>
        <v>0</v>
      </c>
    </row>
    <row r="1809" spans="1:9">
      <c r="A1809" s="90"/>
      <c r="B1809" s="91"/>
      <c r="C1809" s="89"/>
      <c r="D1809" s="112"/>
      <c r="E1809" s="112"/>
      <c r="F1809" s="112"/>
      <c r="G1809" s="96"/>
      <c r="H1809" s="96">
        <f t="shared" si="98"/>
        <v>0</v>
      </c>
      <c r="I1809" s="96">
        <f t="shared" si="99"/>
        <v>0</v>
      </c>
    </row>
    <row r="1810" spans="1:9">
      <c r="A1810" s="90"/>
      <c r="B1810" s="91"/>
      <c r="C1810" s="89"/>
      <c r="D1810" s="112"/>
      <c r="E1810" s="112"/>
      <c r="F1810" s="112"/>
      <c r="G1810" s="96"/>
      <c r="H1810" s="96">
        <f t="shared" si="98"/>
        <v>0</v>
      </c>
      <c r="I1810" s="96">
        <f t="shared" si="99"/>
        <v>0</v>
      </c>
    </row>
    <row r="1811" spans="1:9">
      <c r="A1811" s="90"/>
      <c r="B1811" s="91"/>
      <c r="C1811" s="89"/>
      <c r="D1811" s="112"/>
      <c r="E1811" s="112"/>
      <c r="F1811" s="112"/>
      <c r="G1811" s="96"/>
      <c r="H1811" s="96">
        <f t="shared" si="98"/>
        <v>0</v>
      </c>
      <c r="I1811" s="96">
        <f t="shared" si="99"/>
        <v>0</v>
      </c>
    </row>
    <row r="1812" spans="1:9">
      <c r="A1812" s="90"/>
      <c r="B1812" s="91"/>
      <c r="C1812" s="89"/>
      <c r="D1812" s="112"/>
      <c r="E1812" s="112"/>
      <c r="F1812" s="112"/>
      <c r="G1812" s="96"/>
      <c r="H1812" s="96">
        <f t="shared" si="98"/>
        <v>0</v>
      </c>
      <c r="I1812" s="96">
        <f t="shared" si="99"/>
        <v>0</v>
      </c>
    </row>
    <row r="1813" spans="1:9">
      <c r="A1813" s="90">
        <f>SUM(A1803:A1812)</f>
        <v>10</v>
      </c>
      <c r="B1813" s="91"/>
      <c r="C1813" s="74" t="str">
        <f>IF(B1813&lt;1,"-",VLOOKUP(B1813,HARGA01,2))</f>
        <v>-</v>
      </c>
      <c r="D1813" s="74"/>
      <c r="E1813" s="74"/>
      <c r="F1813" s="74"/>
      <c r="G1813" s="74"/>
      <c r="H1813" s="96">
        <f t="shared" si="98"/>
        <v>0</v>
      </c>
      <c r="I1813" s="96">
        <f t="shared" si="99"/>
        <v>0</v>
      </c>
    </row>
    <row r="1814" spans="1:9">
      <c r="A1814" s="634" t="s">
        <v>23</v>
      </c>
      <c r="B1814" s="635"/>
      <c r="C1814" s="634"/>
      <c r="D1814" s="634"/>
      <c r="E1814" s="634"/>
      <c r="F1814" s="634"/>
      <c r="G1814" s="634"/>
      <c r="H1814" s="636"/>
      <c r="I1814" s="96">
        <f>SUM(I1803:I1813)</f>
        <v>1550000</v>
      </c>
    </row>
    <row r="1815" spans="1:9">
      <c r="A1815" s="28" t="s">
        <v>24</v>
      </c>
      <c r="B1815" s="28"/>
      <c r="H1815" s="637" t="s">
        <v>25</v>
      </c>
      <c r="I1815" s="637"/>
    </row>
    <row r="1818" spans="1:9">
      <c r="H1818" s="94" t="s">
        <v>27</v>
      </c>
      <c r="I1818" s="25"/>
    </row>
    <row r="1819" spans="1:9" ht="27">
      <c r="A1819" s="2" t="s">
        <v>0</v>
      </c>
      <c r="B1819" s="2"/>
    </row>
    <row r="1820" spans="1:9">
      <c r="A1820" t="s">
        <v>1</v>
      </c>
      <c r="C1820" t="s">
        <v>2</v>
      </c>
      <c r="H1820" t="s">
        <v>3</v>
      </c>
      <c r="I1820" s="73">
        <v>44416</v>
      </c>
    </row>
    <row r="1821" spans="1:9">
      <c r="C1821" t="s">
        <v>4</v>
      </c>
      <c r="H1821" t="s">
        <v>5</v>
      </c>
      <c r="I1821" t="s">
        <v>48</v>
      </c>
    </row>
    <row r="1822" spans="1:9">
      <c r="C1822" t="s">
        <v>7</v>
      </c>
      <c r="H1822" s="86"/>
      <c r="I1822" s="86" t="s">
        <v>137</v>
      </c>
    </row>
    <row r="1823" spans="1:9">
      <c r="A1823" t="s">
        <v>8</v>
      </c>
      <c r="C1823" s="87" t="s">
        <v>9</v>
      </c>
      <c r="D1823" s="87"/>
      <c r="E1823" s="87"/>
      <c r="F1823" s="87"/>
      <c r="G1823" s="87"/>
      <c r="H1823" t="s">
        <v>10</v>
      </c>
      <c r="I1823" s="114" t="s">
        <v>11</v>
      </c>
    </row>
    <row r="1824" spans="1:9">
      <c r="A1824" t="s">
        <v>12</v>
      </c>
      <c r="C1824" t="s">
        <v>13</v>
      </c>
      <c r="H1824" t="s">
        <v>14</v>
      </c>
      <c r="I1824" t="s">
        <v>11</v>
      </c>
    </row>
    <row r="1825" spans="1:9">
      <c r="A1825" s="88" t="s">
        <v>15</v>
      </c>
      <c r="B1825" s="89"/>
      <c r="C1825" s="74" t="s">
        <v>16</v>
      </c>
      <c r="D1825" s="74" t="s">
        <v>81</v>
      </c>
      <c r="E1825" s="74" t="s">
        <v>82</v>
      </c>
      <c r="F1825" s="74" t="s">
        <v>83</v>
      </c>
      <c r="G1825" s="74" t="s">
        <v>84</v>
      </c>
      <c r="H1825" s="95" t="s">
        <v>85</v>
      </c>
      <c r="I1825" s="95" t="s">
        <v>18</v>
      </c>
    </row>
    <row r="1826" spans="1:9">
      <c r="A1826" s="90">
        <v>10</v>
      </c>
      <c r="B1826" s="91"/>
      <c r="C1826" s="89" t="s">
        <v>100</v>
      </c>
      <c r="D1826" s="112">
        <v>200</v>
      </c>
      <c r="E1826" s="112">
        <v>140</v>
      </c>
      <c r="F1826" s="112">
        <v>20</v>
      </c>
      <c r="G1826" s="96">
        <v>1648</v>
      </c>
      <c r="H1826" s="96">
        <f t="shared" ref="H1826:H1836" si="100">D1826*E1826*F1826*G1826/1000</f>
        <v>922880</v>
      </c>
      <c r="I1826" s="96">
        <f>IF(H1826="-","-",A1826*H1826)</f>
        <v>9228800</v>
      </c>
    </row>
    <row r="1827" spans="1:9">
      <c r="A1827" s="90"/>
      <c r="B1827" s="91"/>
      <c r="C1827" s="89"/>
      <c r="D1827" s="112"/>
      <c r="E1827" s="112"/>
      <c r="F1827" s="112"/>
      <c r="G1827" s="96"/>
      <c r="H1827" s="96">
        <f t="shared" si="100"/>
        <v>0</v>
      </c>
      <c r="I1827" s="96">
        <f t="shared" ref="I1827:I1836" si="101">IF(H1827="-","-",A1827*H1827)</f>
        <v>0</v>
      </c>
    </row>
    <row r="1828" spans="1:9">
      <c r="A1828" s="90"/>
      <c r="B1828" s="91"/>
      <c r="C1828" s="89"/>
      <c r="D1828" s="112"/>
      <c r="E1828" s="112"/>
      <c r="F1828" s="112"/>
      <c r="G1828" s="96"/>
      <c r="H1828" s="96">
        <f t="shared" si="100"/>
        <v>0</v>
      </c>
      <c r="I1828" s="96">
        <f t="shared" si="101"/>
        <v>0</v>
      </c>
    </row>
    <row r="1829" spans="1:9">
      <c r="A1829" s="90"/>
      <c r="B1829" s="91"/>
      <c r="C1829" s="89"/>
      <c r="D1829" s="112"/>
      <c r="E1829" s="112"/>
      <c r="F1829" s="112"/>
      <c r="G1829" s="96"/>
      <c r="H1829" s="96">
        <f t="shared" si="100"/>
        <v>0</v>
      </c>
      <c r="I1829" s="96">
        <f t="shared" si="101"/>
        <v>0</v>
      </c>
    </row>
    <row r="1830" spans="1:9">
      <c r="A1830" s="90"/>
      <c r="B1830" s="91"/>
      <c r="C1830" s="89"/>
      <c r="D1830" s="112"/>
      <c r="E1830" s="112"/>
      <c r="F1830" s="112"/>
      <c r="G1830" s="96"/>
      <c r="H1830" s="96">
        <f t="shared" si="100"/>
        <v>0</v>
      </c>
      <c r="I1830" s="96">
        <f t="shared" si="101"/>
        <v>0</v>
      </c>
    </row>
    <row r="1831" spans="1:9">
      <c r="A1831" s="90"/>
      <c r="B1831" s="91"/>
      <c r="C1831" s="89"/>
      <c r="D1831" s="112"/>
      <c r="E1831" s="112"/>
      <c r="F1831" s="112"/>
      <c r="G1831" s="96"/>
      <c r="H1831" s="96">
        <f t="shared" si="100"/>
        <v>0</v>
      </c>
      <c r="I1831" s="96">
        <f t="shared" si="101"/>
        <v>0</v>
      </c>
    </row>
    <row r="1832" spans="1:9">
      <c r="A1832" s="90"/>
      <c r="B1832" s="91"/>
      <c r="C1832" s="89"/>
      <c r="D1832" s="112"/>
      <c r="E1832" s="112"/>
      <c r="F1832" s="112"/>
      <c r="G1832" s="96"/>
      <c r="H1832" s="96">
        <f t="shared" si="100"/>
        <v>0</v>
      </c>
      <c r="I1832" s="96">
        <f t="shared" si="101"/>
        <v>0</v>
      </c>
    </row>
    <row r="1833" spans="1:9">
      <c r="A1833" s="90"/>
      <c r="B1833" s="91"/>
      <c r="C1833" s="89"/>
      <c r="D1833" s="112"/>
      <c r="E1833" s="112"/>
      <c r="F1833" s="112"/>
      <c r="G1833" s="96"/>
      <c r="H1833" s="96">
        <f t="shared" si="100"/>
        <v>0</v>
      </c>
      <c r="I1833" s="96">
        <f t="shared" si="101"/>
        <v>0</v>
      </c>
    </row>
    <row r="1834" spans="1:9">
      <c r="A1834" s="90"/>
      <c r="B1834" s="91"/>
      <c r="C1834" s="89"/>
      <c r="D1834" s="112"/>
      <c r="E1834" s="112"/>
      <c r="F1834" s="112"/>
      <c r="G1834" s="96"/>
      <c r="H1834" s="96">
        <f t="shared" si="100"/>
        <v>0</v>
      </c>
      <c r="I1834" s="96">
        <f t="shared" si="101"/>
        <v>0</v>
      </c>
    </row>
    <row r="1835" spans="1:9">
      <c r="A1835" s="90"/>
      <c r="B1835" s="91"/>
      <c r="C1835" s="89"/>
      <c r="D1835" s="112"/>
      <c r="E1835" s="112"/>
      <c r="F1835" s="112"/>
      <c r="G1835" s="96"/>
      <c r="H1835" s="96">
        <f t="shared" si="100"/>
        <v>0</v>
      </c>
      <c r="I1835" s="96">
        <f t="shared" si="101"/>
        <v>0</v>
      </c>
    </row>
    <row r="1836" spans="1:9">
      <c r="A1836" s="90">
        <f>SUM(A1826:A1835)</f>
        <v>10</v>
      </c>
      <c r="B1836" s="91"/>
      <c r="C1836" s="74" t="str">
        <f>IF(B1836&lt;1,"-",VLOOKUP(B1836,HARGA01,2))</f>
        <v>-</v>
      </c>
      <c r="D1836" s="74"/>
      <c r="E1836" s="74"/>
      <c r="F1836" s="74"/>
      <c r="G1836" s="74"/>
      <c r="H1836" s="96">
        <f t="shared" si="100"/>
        <v>0</v>
      </c>
      <c r="I1836" s="96">
        <f t="shared" si="101"/>
        <v>0</v>
      </c>
    </row>
    <row r="1837" spans="1:9">
      <c r="A1837" s="634" t="s">
        <v>23</v>
      </c>
      <c r="B1837" s="635"/>
      <c r="C1837" s="634"/>
      <c r="D1837" s="634"/>
      <c r="E1837" s="634"/>
      <c r="F1837" s="634"/>
      <c r="G1837" s="634"/>
      <c r="H1837" s="636"/>
      <c r="I1837" s="96">
        <f>SUM(I1826:I1836)</f>
        <v>9228800</v>
      </c>
    </row>
    <row r="1838" spans="1:9">
      <c r="A1838" s="28" t="s">
        <v>24</v>
      </c>
      <c r="B1838" s="28"/>
      <c r="H1838" s="637" t="s">
        <v>25</v>
      </c>
      <c r="I1838" s="637"/>
    </row>
    <row r="1841" spans="1:9">
      <c r="H1841" s="94" t="s">
        <v>27</v>
      </c>
      <c r="I1841" s="25"/>
    </row>
    <row r="1842" spans="1:9" ht="27">
      <c r="A1842" s="2" t="s">
        <v>0</v>
      </c>
      <c r="B1842" s="2"/>
    </row>
    <row r="1843" spans="1:9">
      <c r="A1843" t="s">
        <v>1</v>
      </c>
      <c r="C1843" t="s">
        <v>2</v>
      </c>
      <c r="H1843" t="s">
        <v>3</v>
      </c>
      <c r="I1843" s="73">
        <v>44421</v>
      </c>
    </row>
    <row r="1844" spans="1:9">
      <c r="C1844" t="s">
        <v>4</v>
      </c>
      <c r="H1844" t="s">
        <v>5</v>
      </c>
      <c r="I1844" t="s">
        <v>129</v>
      </c>
    </row>
    <row r="1845" spans="1:9">
      <c r="C1845" t="s">
        <v>7</v>
      </c>
      <c r="H1845" s="86"/>
      <c r="I1845" s="86" t="s">
        <v>130</v>
      </c>
    </row>
    <row r="1846" spans="1:9">
      <c r="A1846" t="s">
        <v>8</v>
      </c>
      <c r="C1846" s="87" t="s">
        <v>9</v>
      </c>
      <c r="D1846" s="87"/>
      <c r="E1846" s="87"/>
      <c r="F1846" s="87"/>
      <c r="G1846" s="87"/>
      <c r="H1846" t="s">
        <v>10</v>
      </c>
      <c r="I1846" s="114" t="s">
        <v>11</v>
      </c>
    </row>
    <row r="1847" spans="1:9">
      <c r="A1847" t="s">
        <v>12</v>
      </c>
      <c r="C1847" t="s">
        <v>13</v>
      </c>
      <c r="H1847" t="s">
        <v>14</v>
      </c>
      <c r="I1847" t="s">
        <v>11</v>
      </c>
    </row>
    <row r="1848" spans="1:9">
      <c r="A1848" s="88" t="s">
        <v>15</v>
      </c>
      <c r="B1848" s="89"/>
      <c r="C1848" s="74" t="s">
        <v>16</v>
      </c>
      <c r="D1848" s="74" t="s">
        <v>81</v>
      </c>
      <c r="E1848" s="74" t="s">
        <v>82</v>
      </c>
      <c r="F1848" s="74" t="s">
        <v>83</v>
      </c>
      <c r="G1848" s="74" t="s">
        <v>84</v>
      </c>
      <c r="H1848" s="95" t="s">
        <v>85</v>
      </c>
      <c r="I1848" s="95" t="s">
        <v>18</v>
      </c>
    </row>
    <row r="1849" spans="1:9">
      <c r="A1849" s="90">
        <v>2</v>
      </c>
      <c r="B1849" s="91"/>
      <c r="C1849" s="89" t="s">
        <v>100</v>
      </c>
      <c r="D1849" s="112">
        <v>200</v>
      </c>
      <c r="E1849" s="112">
        <v>140</v>
      </c>
      <c r="F1849" s="112">
        <v>20</v>
      </c>
      <c r="G1849" s="96">
        <v>1630</v>
      </c>
      <c r="H1849" s="96">
        <f t="shared" ref="H1849:H1859" si="102">D1849*E1849*F1849*G1849/1000</f>
        <v>912800</v>
      </c>
      <c r="I1849" s="96">
        <f>IF(H1849="-","-",A1849*H1849)</f>
        <v>1825600</v>
      </c>
    </row>
    <row r="1850" spans="1:9">
      <c r="A1850" s="90">
        <v>1</v>
      </c>
      <c r="B1850" s="91"/>
      <c r="C1850" s="89" t="s">
        <v>100</v>
      </c>
      <c r="D1850" s="112">
        <v>200</v>
      </c>
      <c r="E1850" s="112">
        <v>120</v>
      </c>
      <c r="F1850" s="112">
        <v>20</v>
      </c>
      <c r="G1850" s="96">
        <v>1630</v>
      </c>
      <c r="H1850" s="96">
        <f t="shared" si="102"/>
        <v>782400</v>
      </c>
      <c r="I1850" s="96">
        <f t="shared" ref="I1850:I1859" si="103">IF(H1850="-","-",A1850*H1850)</f>
        <v>782400</v>
      </c>
    </row>
    <row r="1851" spans="1:9">
      <c r="A1851" s="90"/>
      <c r="B1851" s="91"/>
      <c r="C1851" s="89"/>
      <c r="D1851" s="112"/>
      <c r="E1851" s="112"/>
      <c r="F1851" s="112"/>
      <c r="G1851" s="96"/>
      <c r="H1851" s="96">
        <f t="shared" si="102"/>
        <v>0</v>
      </c>
      <c r="I1851" s="96">
        <f t="shared" si="103"/>
        <v>0</v>
      </c>
    </row>
    <row r="1852" spans="1:9">
      <c r="A1852" s="90"/>
      <c r="B1852" s="91"/>
      <c r="C1852" s="89"/>
      <c r="D1852" s="112"/>
      <c r="E1852" s="112"/>
      <c r="F1852" s="112"/>
      <c r="G1852" s="96"/>
      <c r="H1852" s="96">
        <f t="shared" si="102"/>
        <v>0</v>
      </c>
      <c r="I1852" s="96">
        <f t="shared" si="103"/>
        <v>0</v>
      </c>
    </row>
    <row r="1853" spans="1:9">
      <c r="A1853" s="90"/>
      <c r="B1853" s="91"/>
      <c r="C1853" s="89"/>
      <c r="D1853" s="112"/>
      <c r="E1853" s="112"/>
      <c r="F1853" s="112"/>
      <c r="G1853" s="96"/>
      <c r="H1853" s="96">
        <f t="shared" si="102"/>
        <v>0</v>
      </c>
      <c r="I1853" s="96">
        <f t="shared" si="103"/>
        <v>0</v>
      </c>
    </row>
    <row r="1854" spans="1:9">
      <c r="A1854" s="90"/>
      <c r="B1854" s="91"/>
      <c r="C1854" s="89"/>
      <c r="D1854" s="112"/>
      <c r="E1854" s="112"/>
      <c r="F1854" s="112"/>
      <c r="G1854" s="96"/>
      <c r="H1854" s="96">
        <f t="shared" si="102"/>
        <v>0</v>
      </c>
      <c r="I1854" s="96">
        <f t="shared" si="103"/>
        <v>0</v>
      </c>
    </row>
    <row r="1855" spans="1:9">
      <c r="A1855" s="90"/>
      <c r="B1855" s="91"/>
      <c r="C1855" s="89"/>
      <c r="D1855" s="112"/>
      <c r="E1855" s="112"/>
      <c r="F1855" s="112"/>
      <c r="G1855" s="96"/>
      <c r="H1855" s="96">
        <f t="shared" si="102"/>
        <v>0</v>
      </c>
      <c r="I1855" s="96">
        <f t="shared" si="103"/>
        <v>0</v>
      </c>
    </row>
    <row r="1856" spans="1:9">
      <c r="A1856" s="90"/>
      <c r="B1856" s="91"/>
      <c r="C1856" s="89"/>
      <c r="D1856" s="112"/>
      <c r="E1856" s="112"/>
      <c r="F1856" s="112"/>
      <c r="G1856" s="96"/>
      <c r="H1856" s="96">
        <f t="shared" si="102"/>
        <v>0</v>
      </c>
      <c r="I1856" s="96">
        <f t="shared" si="103"/>
        <v>0</v>
      </c>
    </row>
    <row r="1857" spans="1:9">
      <c r="A1857" s="90"/>
      <c r="B1857" s="91"/>
      <c r="C1857" s="89"/>
      <c r="D1857" s="112"/>
      <c r="E1857" s="112"/>
      <c r="F1857" s="112"/>
      <c r="G1857" s="96"/>
      <c r="H1857" s="96">
        <f t="shared" si="102"/>
        <v>0</v>
      </c>
      <c r="I1857" s="96">
        <f t="shared" si="103"/>
        <v>0</v>
      </c>
    </row>
    <row r="1858" spans="1:9">
      <c r="A1858" s="90"/>
      <c r="B1858" s="91"/>
      <c r="C1858" s="89"/>
      <c r="D1858" s="112"/>
      <c r="E1858" s="112"/>
      <c r="F1858" s="112"/>
      <c r="G1858" s="96"/>
      <c r="H1858" s="96">
        <f t="shared" si="102"/>
        <v>0</v>
      </c>
      <c r="I1858" s="96">
        <f t="shared" si="103"/>
        <v>0</v>
      </c>
    </row>
    <row r="1859" spans="1:9">
      <c r="A1859" s="90">
        <f>SUM(A1849:A1858)</f>
        <v>3</v>
      </c>
      <c r="B1859" s="91"/>
      <c r="C1859" s="74" t="str">
        <f>IF(B1859&lt;1,"-",VLOOKUP(B1859,HARGA01,2))</f>
        <v>-</v>
      </c>
      <c r="D1859" s="74"/>
      <c r="E1859" s="74"/>
      <c r="F1859" s="74"/>
      <c r="G1859" s="74"/>
      <c r="H1859" s="96">
        <f t="shared" si="102"/>
        <v>0</v>
      </c>
      <c r="I1859" s="96">
        <f t="shared" si="103"/>
        <v>0</v>
      </c>
    </row>
    <row r="1860" spans="1:9">
      <c r="A1860" s="634" t="s">
        <v>23</v>
      </c>
      <c r="B1860" s="635"/>
      <c r="C1860" s="634"/>
      <c r="D1860" s="634"/>
      <c r="E1860" s="634"/>
      <c r="F1860" s="634"/>
      <c r="G1860" s="634"/>
      <c r="H1860" s="636"/>
      <c r="I1860" s="96">
        <f>SUM(I1849:I1859)</f>
        <v>2608000</v>
      </c>
    </row>
    <row r="1861" spans="1:9">
      <c r="A1861" s="28" t="s">
        <v>24</v>
      </c>
      <c r="B1861" s="28"/>
      <c r="H1861" s="637" t="s">
        <v>25</v>
      </c>
      <c r="I1861" s="637"/>
    </row>
    <row r="1864" spans="1:9">
      <c r="H1864" s="94" t="s">
        <v>27</v>
      </c>
      <c r="I1864" s="25"/>
    </row>
    <row r="1865" spans="1:9" ht="27">
      <c r="A1865" s="2" t="s">
        <v>0</v>
      </c>
      <c r="B1865" s="2"/>
    </row>
    <row r="1866" spans="1:9">
      <c r="A1866" t="s">
        <v>1</v>
      </c>
      <c r="C1866" t="s">
        <v>2</v>
      </c>
      <c r="H1866" t="s">
        <v>3</v>
      </c>
      <c r="I1866" s="73">
        <v>44428</v>
      </c>
    </row>
    <row r="1867" spans="1:9">
      <c r="C1867" t="s">
        <v>4</v>
      </c>
      <c r="H1867" t="s">
        <v>5</v>
      </c>
      <c r="I1867" t="s">
        <v>48</v>
      </c>
    </row>
    <row r="1868" spans="1:9">
      <c r="C1868" t="s">
        <v>7</v>
      </c>
      <c r="H1868" s="86"/>
      <c r="I1868" s="86" t="s">
        <v>49</v>
      </c>
    </row>
    <row r="1869" spans="1:9">
      <c r="A1869" t="s">
        <v>8</v>
      </c>
      <c r="C1869" s="87" t="s">
        <v>9</v>
      </c>
      <c r="D1869" s="87"/>
      <c r="E1869" s="87"/>
      <c r="F1869" s="87"/>
      <c r="G1869" s="87"/>
      <c r="H1869" t="s">
        <v>10</v>
      </c>
    </row>
    <row r="1870" spans="1:9">
      <c r="A1870" t="s">
        <v>12</v>
      </c>
      <c r="C1870" t="s">
        <v>13</v>
      </c>
      <c r="H1870" t="s">
        <v>14</v>
      </c>
      <c r="I1870" t="s">
        <v>11</v>
      </c>
    </row>
    <row r="1871" spans="1:9">
      <c r="A1871" s="88" t="s">
        <v>15</v>
      </c>
      <c r="B1871" s="89"/>
      <c r="C1871" s="74" t="s">
        <v>16</v>
      </c>
      <c r="D1871" s="74" t="s">
        <v>81</v>
      </c>
      <c r="E1871" s="74" t="s">
        <v>82</v>
      </c>
      <c r="F1871" s="74" t="s">
        <v>83</v>
      </c>
      <c r="G1871" s="74" t="s">
        <v>84</v>
      </c>
      <c r="H1871" s="95" t="s">
        <v>85</v>
      </c>
      <c r="I1871" s="95" t="s">
        <v>18</v>
      </c>
    </row>
    <row r="1872" spans="1:9">
      <c r="A1872" s="90">
        <v>10</v>
      </c>
      <c r="B1872" s="91"/>
      <c r="C1872" s="89" t="s">
        <v>138</v>
      </c>
      <c r="D1872" s="112">
        <v>200</v>
      </c>
      <c r="E1872" s="112">
        <v>120</v>
      </c>
      <c r="F1872" s="112">
        <v>20</v>
      </c>
      <c r="G1872" s="96">
        <v>1648</v>
      </c>
      <c r="H1872" s="96">
        <f>D1872*E1872*F1872*G1872/1000</f>
        <v>791040</v>
      </c>
      <c r="I1872" s="96">
        <f t="shared" ref="I1872:I1882" si="104">IF(H1872="-","-",A1872*H1872)</f>
        <v>7910400</v>
      </c>
    </row>
    <row r="1873" spans="1:9">
      <c r="A1873" s="90">
        <v>3</v>
      </c>
      <c r="B1873" s="91"/>
      <c r="C1873" s="89" t="s">
        <v>138</v>
      </c>
      <c r="D1873" s="112">
        <v>200</v>
      </c>
      <c r="E1873" s="112">
        <v>160</v>
      </c>
      <c r="F1873" s="112">
        <v>20</v>
      </c>
      <c r="G1873" s="96">
        <v>1648</v>
      </c>
      <c r="H1873" s="96">
        <f>D1873*E1873*F1873*G1873/1000</f>
        <v>1054720</v>
      </c>
      <c r="I1873" s="96">
        <f t="shared" si="104"/>
        <v>3164160</v>
      </c>
    </row>
    <row r="1874" spans="1:9">
      <c r="A1874" s="90">
        <v>3</v>
      </c>
      <c r="B1874" s="91"/>
      <c r="C1874" s="89" t="s">
        <v>138</v>
      </c>
      <c r="D1874" s="112">
        <v>200</v>
      </c>
      <c r="E1874" s="112">
        <v>160</v>
      </c>
      <c r="F1874" s="112">
        <v>30</v>
      </c>
      <c r="G1874" s="96">
        <v>1648</v>
      </c>
      <c r="H1874" s="96">
        <f t="shared" ref="H1874:H1882" si="105">D1874*E1874*F1874*G1874/1000</f>
        <v>1582080</v>
      </c>
      <c r="I1874" s="96">
        <f t="shared" si="104"/>
        <v>4746240</v>
      </c>
    </row>
    <row r="1875" spans="1:9">
      <c r="A1875" s="90"/>
      <c r="B1875" s="91"/>
      <c r="C1875" s="89"/>
      <c r="D1875" s="112"/>
      <c r="E1875" s="112"/>
      <c r="F1875" s="112"/>
      <c r="G1875" s="96"/>
      <c r="H1875" s="96">
        <f t="shared" si="105"/>
        <v>0</v>
      </c>
      <c r="I1875" s="96">
        <f t="shared" si="104"/>
        <v>0</v>
      </c>
    </row>
    <row r="1876" spans="1:9">
      <c r="A1876" s="90"/>
      <c r="B1876" s="91"/>
      <c r="C1876" s="89"/>
      <c r="D1876" s="112"/>
      <c r="E1876" s="112"/>
      <c r="F1876" s="112"/>
      <c r="G1876" s="96"/>
      <c r="H1876" s="96">
        <f t="shared" si="105"/>
        <v>0</v>
      </c>
      <c r="I1876" s="96">
        <f t="shared" si="104"/>
        <v>0</v>
      </c>
    </row>
    <row r="1877" spans="1:9">
      <c r="A1877" s="90"/>
      <c r="B1877" s="91"/>
      <c r="C1877" s="89"/>
      <c r="D1877" s="112"/>
      <c r="E1877" s="112"/>
      <c r="F1877" s="112"/>
      <c r="G1877" s="96"/>
      <c r="H1877" s="96">
        <f t="shared" si="105"/>
        <v>0</v>
      </c>
      <c r="I1877" s="96">
        <f t="shared" si="104"/>
        <v>0</v>
      </c>
    </row>
    <row r="1878" spans="1:9">
      <c r="A1878" s="90"/>
      <c r="B1878" s="91"/>
      <c r="C1878" s="89"/>
      <c r="D1878" s="112"/>
      <c r="E1878" s="112"/>
      <c r="F1878" s="112"/>
      <c r="G1878" s="96"/>
      <c r="H1878" s="96">
        <f t="shared" si="105"/>
        <v>0</v>
      </c>
      <c r="I1878" s="96">
        <f t="shared" si="104"/>
        <v>0</v>
      </c>
    </row>
    <row r="1879" spans="1:9">
      <c r="A1879" s="90"/>
      <c r="B1879" s="91"/>
      <c r="C1879" s="89"/>
      <c r="D1879" s="112"/>
      <c r="E1879" s="112"/>
      <c r="F1879" s="112"/>
      <c r="G1879" s="96"/>
      <c r="H1879" s="96">
        <f t="shared" si="105"/>
        <v>0</v>
      </c>
      <c r="I1879" s="96">
        <f t="shared" si="104"/>
        <v>0</v>
      </c>
    </row>
    <row r="1880" spans="1:9">
      <c r="A1880" s="90"/>
      <c r="B1880" s="91"/>
      <c r="C1880" s="89"/>
      <c r="D1880" s="112"/>
      <c r="E1880" s="112"/>
      <c r="F1880" s="112"/>
      <c r="G1880" s="96"/>
      <c r="H1880" s="96">
        <f t="shared" si="105"/>
        <v>0</v>
      </c>
      <c r="I1880" s="96">
        <f t="shared" si="104"/>
        <v>0</v>
      </c>
    </row>
    <row r="1881" spans="1:9">
      <c r="A1881" s="90"/>
      <c r="B1881" s="91"/>
      <c r="C1881" s="89"/>
      <c r="D1881" s="112"/>
      <c r="E1881" s="112"/>
      <c r="F1881" s="112"/>
      <c r="G1881" s="96"/>
      <c r="H1881" s="96">
        <f t="shared" si="105"/>
        <v>0</v>
      </c>
      <c r="I1881" s="96">
        <f t="shared" si="104"/>
        <v>0</v>
      </c>
    </row>
    <row r="1882" spans="1:9">
      <c r="A1882" s="90">
        <f>SUM(A1872:A1881)</f>
        <v>16</v>
      </c>
      <c r="B1882" s="91"/>
      <c r="C1882" s="74" t="str">
        <f>IF(B1882&lt;1,"-",VLOOKUP(B1882,HARGA01,2))</f>
        <v>-</v>
      </c>
      <c r="D1882" s="74"/>
      <c r="E1882" s="74"/>
      <c r="F1882" s="74"/>
      <c r="G1882" s="74"/>
      <c r="H1882" s="96">
        <f t="shared" si="105"/>
        <v>0</v>
      </c>
      <c r="I1882" s="96">
        <f t="shared" si="104"/>
        <v>0</v>
      </c>
    </row>
    <row r="1883" spans="1:9">
      <c r="A1883" s="634" t="s">
        <v>23</v>
      </c>
      <c r="B1883" s="635"/>
      <c r="C1883" s="634"/>
      <c r="D1883" s="634"/>
      <c r="E1883" s="634"/>
      <c r="F1883" s="634"/>
      <c r="G1883" s="634"/>
      <c r="H1883" s="636"/>
      <c r="I1883" s="96">
        <f>SUM(I1872:I1882)</f>
        <v>15820800</v>
      </c>
    </row>
    <row r="1884" spans="1:9">
      <c r="A1884" s="28" t="s">
        <v>24</v>
      </c>
      <c r="B1884" s="28"/>
      <c r="H1884" s="637" t="s">
        <v>25</v>
      </c>
      <c r="I1884" s="637"/>
    </row>
    <row r="1887" spans="1:9">
      <c r="H1887" s="94" t="s">
        <v>27</v>
      </c>
      <c r="I1887" s="25"/>
    </row>
    <row r="1888" spans="1:9" ht="27">
      <c r="A1888" s="2" t="s">
        <v>0</v>
      </c>
      <c r="B1888" s="2"/>
    </row>
    <row r="1889" spans="1:9">
      <c r="A1889" t="s">
        <v>1</v>
      </c>
      <c r="C1889" t="s">
        <v>2</v>
      </c>
      <c r="H1889" t="s">
        <v>3</v>
      </c>
      <c r="I1889" s="73">
        <v>44428</v>
      </c>
    </row>
    <row r="1890" spans="1:9">
      <c r="C1890" t="s">
        <v>4</v>
      </c>
      <c r="H1890" t="s">
        <v>5</v>
      </c>
      <c r="I1890" t="s">
        <v>48</v>
      </c>
    </row>
    <row r="1891" spans="1:9">
      <c r="C1891" t="s">
        <v>7</v>
      </c>
      <c r="H1891" s="86"/>
      <c r="I1891" s="86" t="s">
        <v>49</v>
      </c>
    </row>
    <row r="1892" spans="1:9">
      <c r="A1892" t="s">
        <v>8</v>
      </c>
      <c r="C1892" s="87" t="s">
        <v>9</v>
      </c>
      <c r="D1892" s="87"/>
      <c r="E1892" s="87"/>
      <c r="F1892" s="87"/>
      <c r="G1892" s="87"/>
      <c r="H1892" t="s">
        <v>10</v>
      </c>
    </row>
    <row r="1893" spans="1:9">
      <c r="A1893" t="s">
        <v>12</v>
      </c>
      <c r="C1893" t="s">
        <v>13</v>
      </c>
      <c r="H1893" t="s">
        <v>14</v>
      </c>
      <c r="I1893" t="s">
        <v>11</v>
      </c>
    </row>
    <row r="1894" spans="1:9">
      <c r="A1894" s="88" t="s">
        <v>15</v>
      </c>
      <c r="B1894" s="89"/>
      <c r="C1894" s="74" t="s">
        <v>16</v>
      </c>
      <c r="D1894" s="74" t="s">
        <v>81</v>
      </c>
      <c r="E1894" s="74" t="s">
        <v>82</v>
      </c>
      <c r="F1894" s="74" t="s">
        <v>83</v>
      </c>
      <c r="G1894" s="74" t="s">
        <v>84</v>
      </c>
      <c r="H1894" s="95" t="s">
        <v>85</v>
      </c>
      <c r="I1894" s="95" t="s">
        <v>18</v>
      </c>
    </row>
    <row r="1895" spans="1:9">
      <c r="A1895" s="90">
        <v>5</v>
      </c>
      <c r="B1895" s="91"/>
      <c r="C1895" s="89" t="s">
        <v>138</v>
      </c>
      <c r="D1895" s="112">
        <v>200</v>
      </c>
      <c r="E1895" s="112">
        <v>140</v>
      </c>
      <c r="F1895" s="112">
        <v>20</v>
      </c>
      <c r="G1895" s="96">
        <v>1648</v>
      </c>
      <c r="H1895" s="96">
        <f>D1895*E1895*F1895*G1895/1000</f>
        <v>922880</v>
      </c>
      <c r="I1895" s="96">
        <f t="shared" ref="I1895:I1905" si="106">IF(H1895="-","-",A1895*H1895)</f>
        <v>4614400</v>
      </c>
    </row>
    <row r="1896" spans="1:9">
      <c r="A1896" s="90">
        <v>8</v>
      </c>
      <c r="B1896" s="91"/>
      <c r="C1896" s="89" t="s">
        <v>138</v>
      </c>
      <c r="D1896" s="112">
        <v>200</v>
      </c>
      <c r="E1896" s="112">
        <v>150</v>
      </c>
      <c r="F1896" s="112">
        <v>20</v>
      </c>
      <c r="G1896" s="96">
        <v>1648</v>
      </c>
      <c r="H1896" s="96">
        <f>D1896*E1896*F1896*G1896/1000</f>
        <v>988800</v>
      </c>
      <c r="I1896" s="96">
        <f t="shared" si="106"/>
        <v>7910400</v>
      </c>
    </row>
    <row r="1897" spans="1:9">
      <c r="A1897" s="90">
        <v>7</v>
      </c>
      <c r="B1897" s="91"/>
      <c r="C1897" s="89" t="s">
        <v>138</v>
      </c>
      <c r="D1897" s="112">
        <v>200</v>
      </c>
      <c r="E1897" s="112">
        <v>160</v>
      </c>
      <c r="F1897" s="112">
        <v>20</v>
      </c>
      <c r="G1897" s="96">
        <v>1648</v>
      </c>
      <c r="H1897" s="96">
        <f t="shared" ref="H1897:H1905" si="107">D1897*E1897*F1897*G1897/1000</f>
        <v>1054720</v>
      </c>
      <c r="I1897" s="96">
        <f t="shared" si="106"/>
        <v>7383040</v>
      </c>
    </row>
    <row r="1898" spans="1:9">
      <c r="A1898" s="90"/>
      <c r="B1898" s="91"/>
      <c r="C1898" s="89"/>
      <c r="D1898" s="112"/>
      <c r="E1898" s="112"/>
      <c r="F1898" s="112"/>
      <c r="G1898" s="96"/>
      <c r="H1898" s="96">
        <f t="shared" si="107"/>
        <v>0</v>
      </c>
      <c r="I1898" s="96">
        <f t="shared" si="106"/>
        <v>0</v>
      </c>
    </row>
    <row r="1899" spans="1:9">
      <c r="A1899" s="90"/>
      <c r="B1899" s="91"/>
      <c r="C1899" s="89"/>
      <c r="D1899" s="112"/>
      <c r="E1899" s="112"/>
      <c r="F1899" s="112"/>
      <c r="G1899" s="96"/>
      <c r="H1899" s="96">
        <f t="shared" si="107"/>
        <v>0</v>
      </c>
      <c r="I1899" s="96">
        <f t="shared" si="106"/>
        <v>0</v>
      </c>
    </row>
    <row r="1900" spans="1:9">
      <c r="A1900" s="90"/>
      <c r="B1900" s="91"/>
      <c r="C1900" s="89"/>
      <c r="D1900" s="112"/>
      <c r="E1900" s="112"/>
      <c r="F1900" s="112"/>
      <c r="G1900" s="96"/>
      <c r="H1900" s="96">
        <f t="shared" si="107"/>
        <v>0</v>
      </c>
      <c r="I1900" s="96">
        <f t="shared" si="106"/>
        <v>0</v>
      </c>
    </row>
    <row r="1901" spans="1:9">
      <c r="A1901" s="90"/>
      <c r="B1901" s="91"/>
      <c r="C1901" s="89"/>
      <c r="D1901" s="112"/>
      <c r="E1901" s="112"/>
      <c r="F1901" s="112"/>
      <c r="G1901" s="96"/>
      <c r="H1901" s="96">
        <f t="shared" si="107"/>
        <v>0</v>
      </c>
      <c r="I1901" s="96">
        <f t="shared" si="106"/>
        <v>0</v>
      </c>
    </row>
    <row r="1902" spans="1:9">
      <c r="A1902" s="90"/>
      <c r="B1902" s="91"/>
      <c r="C1902" s="89"/>
      <c r="D1902" s="112"/>
      <c r="E1902" s="112"/>
      <c r="F1902" s="112"/>
      <c r="G1902" s="96"/>
      <c r="H1902" s="96">
        <f t="shared" si="107"/>
        <v>0</v>
      </c>
      <c r="I1902" s="96">
        <f t="shared" si="106"/>
        <v>0</v>
      </c>
    </row>
    <row r="1903" spans="1:9">
      <c r="A1903" s="90"/>
      <c r="B1903" s="91"/>
      <c r="C1903" s="89"/>
      <c r="D1903" s="112"/>
      <c r="E1903" s="112"/>
      <c r="F1903" s="112"/>
      <c r="G1903" s="96"/>
      <c r="H1903" s="96">
        <f t="shared" si="107"/>
        <v>0</v>
      </c>
      <c r="I1903" s="96">
        <f t="shared" si="106"/>
        <v>0</v>
      </c>
    </row>
    <row r="1904" spans="1:9">
      <c r="A1904" s="90"/>
      <c r="B1904" s="91"/>
      <c r="C1904" s="89"/>
      <c r="D1904" s="112"/>
      <c r="E1904" s="112"/>
      <c r="F1904" s="112"/>
      <c r="G1904" s="96"/>
      <c r="H1904" s="96">
        <f t="shared" si="107"/>
        <v>0</v>
      </c>
      <c r="I1904" s="96">
        <f t="shared" si="106"/>
        <v>0</v>
      </c>
    </row>
    <row r="1905" spans="1:9">
      <c r="A1905" s="90">
        <f>SUM(A1895:A1904)</f>
        <v>20</v>
      </c>
      <c r="B1905" s="91"/>
      <c r="C1905" s="74" t="str">
        <f>IF(B1905&lt;1,"-",VLOOKUP(B1905,HARGA01,2))</f>
        <v>-</v>
      </c>
      <c r="D1905" s="74"/>
      <c r="E1905" s="74"/>
      <c r="F1905" s="74"/>
      <c r="G1905" s="74"/>
      <c r="H1905" s="96">
        <f t="shared" si="107"/>
        <v>0</v>
      </c>
      <c r="I1905" s="96">
        <f t="shared" si="106"/>
        <v>0</v>
      </c>
    </row>
    <row r="1906" spans="1:9">
      <c r="A1906" s="634" t="s">
        <v>23</v>
      </c>
      <c r="B1906" s="635"/>
      <c r="C1906" s="634"/>
      <c r="D1906" s="634"/>
      <c r="E1906" s="634"/>
      <c r="F1906" s="634"/>
      <c r="G1906" s="634"/>
      <c r="H1906" s="636"/>
      <c r="I1906" s="96">
        <f>SUM(I1895:I1905)</f>
        <v>19907840</v>
      </c>
    </row>
    <row r="1907" spans="1:9">
      <c r="A1907" s="28" t="s">
        <v>24</v>
      </c>
      <c r="B1907" s="28"/>
      <c r="H1907" s="637" t="s">
        <v>25</v>
      </c>
      <c r="I1907" s="637"/>
    </row>
    <row r="1910" spans="1:9">
      <c r="H1910" s="94" t="s">
        <v>27</v>
      </c>
      <c r="I1910" s="25"/>
    </row>
    <row r="1911" spans="1:9" ht="27">
      <c r="A1911" s="2" t="s">
        <v>0</v>
      </c>
      <c r="B1911" s="2"/>
    </row>
    <row r="1912" spans="1:9">
      <c r="A1912" t="s">
        <v>1</v>
      </c>
      <c r="C1912" t="s">
        <v>2</v>
      </c>
      <c r="H1912" t="s">
        <v>3</v>
      </c>
      <c r="I1912" s="73">
        <v>44428</v>
      </c>
    </row>
    <row r="1913" spans="1:9">
      <c r="C1913" t="s">
        <v>4</v>
      </c>
      <c r="H1913" t="s">
        <v>5</v>
      </c>
      <c r="I1913" t="s">
        <v>48</v>
      </c>
    </row>
    <row r="1914" spans="1:9">
      <c r="C1914" t="s">
        <v>7</v>
      </c>
      <c r="H1914" s="86"/>
      <c r="I1914" s="86" t="s">
        <v>49</v>
      </c>
    </row>
    <row r="1915" spans="1:9">
      <c r="A1915" t="s">
        <v>8</v>
      </c>
      <c r="C1915" s="87" t="s">
        <v>9</v>
      </c>
      <c r="D1915" s="87"/>
      <c r="E1915" s="87"/>
      <c r="F1915" s="87"/>
      <c r="G1915" s="87"/>
      <c r="H1915" t="s">
        <v>10</v>
      </c>
    </row>
    <row r="1916" spans="1:9">
      <c r="A1916" t="s">
        <v>12</v>
      </c>
      <c r="C1916" t="s">
        <v>13</v>
      </c>
      <c r="H1916" t="s">
        <v>14</v>
      </c>
      <c r="I1916" t="s">
        <v>11</v>
      </c>
    </row>
    <row r="1917" spans="1:9">
      <c r="A1917" s="88" t="s">
        <v>15</v>
      </c>
      <c r="B1917" s="89"/>
      <c r="C1917" s="74" t="s">
        <v>16</v>
      </c>
      <c r="D1917" s="74" t="s">
        <v>81</v>
      </c>
      <c r="E1917" s="74" t="s">
        <v>82</v>
      </c>
      <c r="F1917" s="74" t="s">
        <v>83</v>
      </c>
      <c r="G1917" s="74" t="s">
        <v>84</v>
      </c>
      <c r="H1917" s="95" t="s">
        <v>85</v>
      </c>
      <c r="I1917" s="95" t="s">
        <v>18</v>
      </c>
    </row>
    <row r="1918" spans="1:9">
      <c r="A1918" s="90">
        <v>5</v>
      </c>
      <c r="B1918" s="91"/>
      <c r="C1918" s="89" t="s">
        <v>138</v>
      </c>
      <c r="D1918" s="112">
        <v>200</v>
      </c>
      <c r="E1918" s="112">
        <v>140</v>
      </c>
      <c r="F1918" s="112">
        <v>20</v>
      </c>
      <c r="G1918" s="96">
        <v>1648</v>
      </c>
      <c r="H1918" s="96">
        <f>D1918*E1918*F1918*G1918/1000</f>
        <v>922880</v>
      </c>
      <c r="I1918" s="96">
        <f t="shared" ref="I1918:I1928" si="108">IF(H1918="-","-",A1918*H1918)</f>
        <v>4614400</v>
      </c>
    </row>
    <row r="1919" spans="1:9">
      <c r="A1919" s="90">
        <v>8</v>
      </c>
      <c r="B1919" s="91"/>
      <c r="C1919" s="89" t="s">
        <v>138</v>
      </c>
      <c r="D1919" s="112">
        <v>200</v>
      </c>
      <c r="E1919" s="112">
        <v>150</v>
      </c>
      <c r="F1919" s="112">
        <v>20</v>
      </c>
      <c r="G1919" s="96">
        <v>1648</v>
      </c>
      <c r="H1919" s="96">
        <f>D1919*E1919*F1919*G1919/1000</f>
        <v>988800</v>
      </c>
      <c r="I1919" s="96">
        <f t="shared" si="108"/>
        <v>7910400</v>
      </c>
    </row>
    <row r="1920" spans="1:9">
      <c r="A1920" s="90">
        <v>7</v>
      </c>
      <c r="B1920" s="91"/>
      <c r="C1920" s="89" t="s">
        <v>138</v>
      </c>
      <c r="D1920" s="112">
        <v>200</v>
      </c>
      <c r="E1920" s="112">
        <v>160</v>
      </c>
      <c r="F1920" s="112">
        <v>20</v>
      </c>
      <c r="G1920" s="96">
        <v>1648</v>
      </c>
      <c r="H1920" s="96">
        <f t="shared" ref="H1920:H1928" si="109">D1920*E1920*F1920*G1920/1000</f>
        <v>1054720</v>
      </c>
      <c r="I1920" s="96">
        <f t="shared" si="108"/>
        <v>7383040</v>
      </c>
    </row>
    <row r="1921" spans="1:9">
      <c r="A1921" s="90"/>
      <c r="B1921" s="91"/>
      <c r="C1921" s="89"/>
      <c r="D1921" s="112"/>
      <c r="E1921" s="112"/>
      <c r="F1921" s="112"/>
      <c r="G1921" s="96"/>
      <c r="H1921" s="96">
        <f t="shared" si="109"/>
        <v>0</v>
      </c>
      <c r="I1921" s="96">
        <f t="shared" si="108"/>
        <v>0</v>
      </c>
    </row>
    <row r="1922" spans="1:9">
      <c r="A1922" s="90"/>
      <c r="B1922" s="91"/>
      <c r="C1922" s="89"/>
      <c r="D1922" s="112"/>
      <c r="E1922" s="112"/>
      <c r="F1922" s="112"/>
      <c r="G1922" s="96"/>
      <c r="H1922" s="96">
        <f t="shared" si="109"/>
        <v>0</v>
      </c>
      <c r="I1922" s="96">
        <f t="shared" si="108"/>
        <v>0</v>
      </c>
    </row>
    <row r="1923" spans="1:9">
      <c r="A1923" s="90"/>
      <c r="B1923" s="91"/>
      <c r="C1923" s="89"/>
      <c r="D1923" s="112"/>
      <c r="E1923" s="112"/>
      <c r="F1923" s="112"/>
      <c r="G1923" s="96"/>
      <c r="H1923" s="96">
        <f t="shared" si="109"/>
        <v>0</v>
      </c>
      <c r="I1923" s="96">
        <f t="shared" si="108"/>
        <v>0</v>
      </c>
    </row>
    <row r="1924" spans="1:9">
      <c r="A1924" s="90"/>
      <c r="B1924" s="91"/>
      <c r="C1924" s="89"/>
      <c r="D1924" s="112"/>
      <c r="E1924" s="112"/>
      <c r="F1924" s="112"/>
      <c r="G1924" s="96"/>
      <c r="H1924" s="96">
        <f t="shared" si="109"/>
        <v>0</v>
      </c>
      <c r="I1924" s="96">
        <f t="shared" si="108"/>
        <v>0</v>
      </c>
    </row>
    <row r="1925" spans="1:9">
      <c r="A1925" s="90"/>
      <c r="B1925" s="91"/>
      <c r="C1925" s="89"/>
      <c r="D1925" s="112"/>
      <c r="E1925" s="112"/>
      <c r="F1925" s="112"/>
      <c r="G1925" s="96"/>
      <c r="H1925" s="96">
        <f t="shared" si="109"/>
        <v>0</v>
      </c>
      <c r="I1925" s="96">
        <f t="shared" si="108"/>
        <v>0</v>
      </c>
    </row>
    <row r="1926" spans="1:9">
      <c r="A1926" s="90"/>
      <c r="B1926" s="91"/>
      <c r="C1926" s="89"/>
      <c r="D1926" s="112"/>
      <c r="E1926" s="112"/>
      <c r="F1926" s="112"/>
      <c r="G1926" s="96"/>
      <c r="H1926" s="96">
        <f t="shared" si="109"/>
        <v>0</v>
      </c>
      <c r="I1926" s="96">
        <f t="shared" si="108"/>
        <v>0</v>
      </c>
    </row>
    <row r="1927" spans="1:9">
      <c r="A1927" s="90"/>
      <c r="B1927" s="91"/>
      <c r="C1927" s="89"/>
      <c r="D1927" s="112"/>
      <c r="E1927" s="112"/>
      <c r="F1927" s="112"/>
      <c r="G1927" s="96"/>
      <c r="H1927" s="96">
        <f t="shared" si="109"/>
        <v>0</v>
      </c>
      <c r="I1927" s="96">
        <f t="shared" si="108"/>
        <v>0</v>
      </c>
    </row>
    <row r="1928" spans="1:9">
      <c r="A1928" s="90">
        <f>SUM(A1918:A1927)</f>
        <v>20</v>
      </c>
      <c r="B1928" s="91"/>
      <c r="C1928" s="74" t="str">
        <f>IF(B1928&lt;1,"-",VLOOKUP(B1928,HARGA01,2))</f>
        <v>-</v>
      </c>
      <c r="D1928" s="74"/>
      <c r="E1928" s="74"/>
      <c r="F1928" s="74"/>
      <c r="G1928" s="74"/>
      <c r="H1928" s="96">
        <f t="shared" si="109"/>
        <v>0</v>
      </c>
      <c r="I1928" s="96">
        <f t="shared" si="108"/>
        <v>0</v>
      </c>
    </row>
    <row r="1929" spans="1:9">
      <c r="A1929" s="634" t="s">
        <v>23</v>
      </c>
      <c r="B1929" s="635"/>
      <c r="C1929" s="634"/>
      <c r="D1929" s="634"/>
      <c r="E1929" s="634"/>
      <c r="F1929" s="634"/>
      <c r="G1929" s="634"/>
      <c r="H1929" s="636"/>
      <c r="I1929" s="96">
        <f>SUM(I1918:I1928)</f>
        <v>19907840</v>
      </c>
    </row>
    <row r="1930" spans="1:9">
      <c r="A1930" s="28" t="s">
        <v>24</v>
      </c>
      <c r="B1930" s="28"/>
      <c r="H1930" s="637" t="s">
        <v>25</v>
      </c>
      <c r="I1930" s="637"/>
    </row>
    <row r="1933" spans="1:9">
      <c r="H1933" s="94" t="s">
        <v>27</v>
      </c>
      <c r="I1933" s="25"/>
    </row>
    <row r="1934" spans="1:9" ht="27">
      <c r="A1934" s="2" t="s">
        <v>0</v>
      </c>
      <c r="B1934" s="2"/>
    </row>
    <row r="1935" spans="1:9">
      <c r="A1935" t="s">
        <v>1</v>
      </c>
      <c r="C1935" t="s">
        <v>2</v>
      </c>
      <c r="H1935" t="s">
        <v>3</v>
      </c>
      <c r="I1935" s="73">
        <v>44429</v>
      </c>
    </row>
    <row r="1936" spans="1:9">
      <c r="C1936" t="s">
        <v>4</v>
      </c>
      <c r="H1936" t="s">
        <v>5</v>
      </c>
      <c r="I1936" t="s">
        <v>48</v>
      </c>
    </row>
    <row r="1937" spans="1:9">
      <c r="C1937" t="s">
        <v>7</v>
      </c>
      <c r="H1937" s="86"/>
      <c r="I1937" s="86" t="s">
        <v>49</v>
      </c>
    </row>
    <row r="1938" spans="1:9">
      <c r="A1938" t="s">
        <v>8</v>
      </c>
      <c r="C1938" s="87" t="s">
        <v>9</v>
      </c>
      <c r="D1938" s="87"/>
      <c r="E1938" s="87"/>
      <c r="F1938" s="87"/>
      <c r="G1938" s="87"/>
      <c r="H1938" t="s">
        <v>10</v>
      </c>
    </row>
    <row r="1939" spans="1:9">
      <c r="A1939" t="s">
        <v>12</v>
      </c>
      <c r="C1939" t="s">
        <v>13</v>
      </c>
      <c r="H1939" t="s">
        <v>14</v>
      </c>
      <c r="I1939" t="s">
        <v>11</v>
      </c>
    </row>
    <row r="1940" spans="1:9">
      <c r="A1940" s="88" t="s">
        <v>15</v>
      </c>
      <c r="B1940" s="89"/>
      <c r="C1940" s="74" t="s">
        <v>16</v>
      </c>
      <c r="D1940" s="74" t="s">
        <v>81</v>
      </c>
      <c r="E1940" s="74" t="s">
        <v>82</v>
      </c>
      <c r="F1940" s="74" t="s">
        <v>83</v>
      </c>
      <c r="G1940" s="74" t="s">
        <v>84</v>
      </c>
      <c r="H1940" s="95" t="s">
        <v>85</v>
      </c>
      <c r="I1940" s="95" t="s">
        <v>18</v>
      </c>
    </row>
    <row r="1941" spans="1:9">
      <c r="A1941" s="90">
        <v>2</v>
      </c>
      <c r="B1941" s="91"/>
      <c r="C1941" s="89" t="s">
        <v>138</v>
      </c>
      <c r="D1941" s="112">
        <v>200</v>
      </c>
      <c r="E1941" s="112">
        <v>200</v>
      </c>
      <c r="F1941" s="112">
        <v>30</v>
      </c>
      <c r="G1941" s="96">
        <v>1648</v>
      </c>
      <c r="H1941" s="96">
        <f>D1941*E1941*F1941*G1941/1000</f>
        <v>1977600</v>
      </c>
      <c r="I1941" s="96">
        <f t="shared" ref="I1941:I1951" si="110">IF(H1941="-","-",A1941*H1941)</f>
        <v>3955200</v>
      </c>
    </row>
    <row r="1942" spans="1:9">
      <c r="A1942" s="90"/>
      <c r="B1942" s="91"/>
      <c r="C1942" s="89"/>
      <c r="D1942" s="112"/>
      <c r="E1942" s="112"/>
      <c r="F1942" s="112"/>
      <c r="G1942" s="96"/>
      <c r="H1942" s="96">
        <f>D1942*E1942*F1942*G1942/1000</f>
        <v>0</v>
      </c>
      <c r="I1942" s="96">
        <f t="shared" si="110"/>
        <v>0</v>
      </c>
    </row>
    <row r="1943" spans="1:9">
      <c r="A1943" s="90"/>
      <c r="B1943" s="91"/>
      <c r="C1943" s="89"/>
      <c r="D1943" s="112"/>
      <c r="E1943" s="112"/>
      <c r="F1943" s="112"/>
      <c r="G1943" s="96"/>
      <c r="H1943" s="96">
        <f t="shared" ref="H1943:H1951" si="111">D1943*E1943*F1943*G1943/1000</f>
        <v>0</v>
      </c>
      <c r="I1943" s="96">
        <f t="shared" si="110"/>
        <v>0</v>
      </c>
    </row>
    <row r="1944" spans="1:9">
      <c r="A1944" s="90"/>
      <c r="B1944" s="91"/>
      <c r="C1944" s="89"/>
      <c r="D1944" s="112"/>
      <c r="E1944" s="112"/>
      <c r="F1944" s="112"/>
      <c r="G1944" s="96"/>
      <c r="H1944" s="96">
        <f t="shared" si="111"/>
        <v>0</v>
      </c>
      <c r="I1944" s="96">
        <f t="shared" si="110"/>
        <v>0</v>
      </c>
    </row>
    <row r="1945" spans="1:9">
      <c r="A1945" s="90"/>
      <c r="B1945" s="91"/>
      <c r="C1945" s="89"/>
      <c r="D1945" s="112"/>
      <c r="E1945" s="112"/>
      <c r="F1945" s="112"/>
      <c r="G1945" s="96"/>
      <c r="H1945" s="96">
        <f t="shared" si="111"/>
        <v>0</v>
      </c>
      <c r="I1945" s="96">
        <f t="shared" si="110"/>
        <v>0</v>
      </c>
    </row>
    <row r="1946" spans="1:9">
      <c r="A1946" s="90"/>
      <c r="B1946" s="91"/>
      <c r="C1946" s="89"/>
      <c r="D1946" s="112"/>
      <c r="E1946" s="112"/>
      <c r="F1946" s="112"/>
      <c r="G1946" s="96"/>
      <c r="H1946" s="96">
        <f t="shared" si="111"/>
        <v>0</v>
      </c>
      <c r="I1946" s="96">
        <f t="shared" si="110"/>
        <v>0</v>
      </c>
    </row>
    <row r="1947" spans="1:9">
      <c r="A1947" s="90"/>
      <c r="B1947" s="91"/>
      <c r="C1947" s="89"/>
      <c r="D1947" s="112"/>
      <c r="E1947" s="112"/>
      <c r="F1947" s="112"/>
      <c r="G1947" s="96"/>
      <c r="H1947" s="96">
        <f t="shared" si="111"/>
        <v>0</v>
      </c>
      <c r="I1947" s="96">
        <f t="shared" si="110"/>
        <v>0</v>
      </c>
    </row>
    <row r="1948" spans="1:9">
      <c r="A1948" s="90"/>
      <c r="B1948" s="91"/>
      <c r="C1948" s="89"/>
      <c r="D1948" s="112"/>
      <c r="E1948" s="112"/>
      <c r="F1948" s="112"/>
      <c r="G1948" s="96"/>
      <c r="H1948" s="96">
        <f t="shared" si="111"/>
        <v>0</v>
      </c>
      <c r="I1948" s="96">
        <f t="shared" si="110"/>
        <v>0</v>
      </c>
    </row>
    <row r="1949" spans="1:9">
      <c r="A1949" s="90"/>
      <c r="B1949" s="91"/>
      <c r="C1949" s="89"/>
      <c r="D1949" s="112"/>
      <c r="E1949" s="112"/>
      <c r="F1949" s="112"/>
      <c r="G1949" s="96"/>
      <c r="H1949" s="96">
        <f t="shared" si="111"/>
        <v>0</v>
      </c>
      <c r="I1949" s="96">
        <f t="shared" si="110"/>
        <v>0</v>
      </c>
    </row>
    <row r="1950" spans="1:9">
      <c r="A1950" s="90"/>
      <c r="B1950" s="91"/>
      <c r="C1950" s="89"/>
      <c r="D1950" s="112"/>
      <c r="E1950" s="112"/>
      <c r="F1950" s="112"/>
      <c r="G1950" s="96"/>
      <c r="H1950" s="96">
        <f t="shared" si="111"/>
        <v>0</v>
      </c>
      <c r="I1950" s="96">
        <f t="shared" si="110"/>
        <v>0</v>
      </c>
    </row>
    <row r="1951" spans="1:9">
      <c r="A1951" s="90">
        <f>SUM(A1941:A1950)</f>
        <v>2</v>
      </c>
      <c r="B1951" s="91"/>
      <c r="C1951" s="74" t="str">
        <f>IF(B1951&lt;1,"-",VLOOKUP(B1951,HARGA01,2))</f>
        <v>-</v>
      </c>
      <c r="D1951" s="74"/>
      <c r="E1951" s="74"/>
      <c r="F1951" s="74"/>
      <c r="G1951" s="74"/>
      <c r="H1951" s="96">
        <f t="shared" si="111"/>
        <v>0</v>
      </c>
      <c r="I1951" s="96">
        <f t="shared" si="110"/>
        <v>0</v>
      </c>
    </row>
    <row r="1952" spans="1:9">
      <c r="A1952" s="634" t="s">
        <v>23</v>
      </c>
      <c r="B1952" s="635"/>
      <c r="C1952" s="634"/>
      <c r="D1952" s="634"/>
      <c r="E1952" s="634"/>
      <c r="F1952" s="634"/>
      <c r="G1952" s="634"/>
      <c r="H1952" s="636"/>
      <c r="I1952" s="96">
        <f>SUM(I1941:I1951)</f>
        <v>3955200</v>
      </c>
    </row>
    <row r="1953" spans="1:9">
      <c r="A1953" s="28" t="s">
        <v>24</v>
      </c>
      <c r="B1953" s="28"/>
      <c r="H1953" s="637" t="s">
        <v>25</v>
      </c>
      <c r="I1953" s="637"/>
    </row>
    <row r="1956" spans="1:9">
      <c r="H1956" s="94" t="s">
        <v>27</v>
      </c>
      <c r="I1956" s="25"/>
    </row>
    <row r="1957" spans="1:9" ht="27">
      <c r="A1957" s="2" t="s">
        <v>0</v>
      </c>
      <c r="B1957" s="2"/>
    </row>
    <row r="1958" spans="1:9">
      <c r="A1958" t="s">
        <v>1</v>
      </c>
      <c r="C1958" t="s">
        <v>2</v>
      </c>
      <c r="H1958" t="s">
        <v>3</v>
      </c>
      <c r="I1958" s="73">
        <v>44429</v>
      </c>
    </row>
    <row r="1959" spans="1:9">
      <c r="C1959" t="s">
        <v>4</v>
      </c>
      <c r="H1959" t="s">
        <v>5</v>
      </c>
      <c r="I1959" t="s">
        <v>48</v>
      </c>
    </row>
    <row r="1960" spans="1:9">
      <c r="C1960" t="s">
        <v>7</v>
      </c>
      <c r="H1960" s="86"/>
      <c r="I1960" s="86" t="s">
        <v>49</v>
      </c>
    </row>
    <row r="1961" spans="1:9">
      <c r="A1961" t="s">
        <v>8</v>
      </c>
      <c r="C1961" s="87" t="s">
        <v>9</v>
      </c>
      <c r="D1961" s="87"/>
      <c r="E1961" s="87"/>
      <c r="F1961" s="87"/>
      <c r="G1961" s="87"/>
      <c r="H1961" t="s">
        <v>10</v>
      </c>
    </row>
    <row r="1962" spans="1:9">
      <c r="A1962" t="s">
        <v>12</v>
      </c>
      <c r="C1962" t="s">
        <v>13</v>
      </c>
      <c r="H1962" t="s">
        <v>14</v>
      </c>
      <c r="I1962" t="s">
        <v>11</v>
      </c>
    </row>
    <row r="1963" spans="1:9">
      <c r="A1963" s="88" t="s">
        <v>15</v>
      </c>
      <c r="B1963" s="89"/>
      <c r="C1963" s="74" t="s">
        <v>16</v>
      </c>
      <c r="D1963" s="74" t="s">
        <v>81</v>
      </c>
      <c r="E1963" s="74" t="s">
        <v>82</v>
      </c>
      <c r="F1963" s="74" t="s">
        <v>83</v>
      </c>
      <c r="G1963" s="74" t="s">
        <v>84</v>
      </c>
      <c r="H1963" s="95" t="s">
        <v>85</v>
      </c>
      <c r="I1963" s="95" t="s">
        <v>18</v>
      </c>
    </row>
    <row r="1964" spans="1:9">
      <c r="A1964" s="90">
        <v>2</v>
      </c>
      <c r="B1964" s="91"/>
      <c r="C1964" s="89" t="s">
        <v>138</v>
      </c>
      <c r="D1964" s="112">
        <v>200</v>
      </c>
      <c r="E1964" s="112">
        <v>180</v>
      </c>
      <c r="F1964" s="112">
        <v>30</v>
      </c>
      <c r="G1964" s="96">
        <v>1648</v>
      </c>
      <c r="H1964" s="96">
        <f>D1964*E1964*F1964*G1964/1000</f>
        <v>1779840</v>
      </c>
      <c r="I1964" s="96">
        <f t="shared" ref="I1964:I1974" si="112">IF(H1964="-","-",A1964*H1964)</f>
        <v>3559680</v>
      </c>
    </row>
    <row r="1965" spans="1:9">
      <c r="A1965" s="90"/>
      <c r="B1965" s="91"/>
      <c r="C1965" s="89"/>
      <c r="D1965" s="112"/>
      <c r="E1965" s="112"/>
      <c r="F1965" s="112"/>
      <c r="G1965" s="96"/>
      <c r="H1965" s="96">
        <f>D1965*E1965*F1965*G1965/1000</f>
        <v>0</v>
      </c>
      <c r="I1965" s="96">
        <f t="shared" si="112"/>
        <v>0</v>
      </c>
    </row>
    <row r="1966" spans="1:9">
      <c r="A1966" s="90"/>
      <c r="B1966" s="91"/>
      <c r="C1966" s="89"/>
      <c r="D1966" s="112"/>
      <c r="E1966" s="112"/>
      <c r="F1966" s="112"/>
      <c r="G1966" s="96"/>
      <c r="H1966" s="96">
        <f t="shared" ref="H1966:H1974" si="113">D1966*E1966*F1966*G1966/1000</f>
        <v>0</v>
      </c>
      <c r="I1966" s="96">
        <f t="shared" si="112"/>
        <v>0</v>
      </c>
    </row>
    <row r="1967" spans="1:9">
      <c r="A1967" s="90"/>
      <c r="B1967" s="91"/>
      <c r="C1967" s="89"/>
      <c r="D1967" s="112"/>
      <c r="E1967" s="112"/>
      <c r="F1967" s="112"/>
      <c r="G1967" s="96"/>
      <c r="H1967" s="96">
        <f t="shared" si="113"/>
        <v>0</v>
      </c>
      <c r="I1967" s="96">
        <f t="shared" si="112"/>
        <v>0</v>
      </c>
    </row>
    <row r="1968" spans="1:9">
      <c r="A1968" s="90"/>
      <c r="B1968" s="91"/>
      <c r="C1968" s="89"/>
      <c r="D1968" s="112"/>
      <c r="E1968" s="112"/>
      <c r="F1968" s="112"/>
      <c r="G1968" s="96"/>
      <c r="H1968" s="96">
        <f t="shared" si="113"/>
        <v>0</v>
      </c>
      <c r="I1968" s="96">
        <f t="shared" si="112"/>
        <v>0</v>
      </c>
    </row>
    <row r="1969" spans="1:9">
      <c r="A1969" s="90"/>
      <c r="B1969" s="91"/>
      <c r="C1969" s="89"/>
      <c r="D1969" s="112"/>
      <c r="E1969" s="112"/>
      <c r="F1969" s="112"/>
      <c r="G1969" s="96"/>
      <c r="H1969" s="96">
        <f t="shared" si="113"/>
        <v>0</v>
      </c>
      <c r="I1969" s="96">
        <f t="shared" si="112"/>
        <v>0</v>
      </c>
    </row>
    <row r="1970" spans="1:9">
      <c r="A1970" s="90"/>
      <c r="B1970" s="91"/>
      <c r="C1970" s="89"/>
      <c r="D1970" s="112"/>
      <c r="E1970" s="112"/>
      <c r="F1970" s="112"/>
      <c r="G1970" s="96"/>
      <c r="H1970" s="96">
        <f t="shared" si="113"/>
        <v>0</v>
      </c>
      <c r="I1970" s="96">
        <f t="shared" si="112"/>
        <v>0</v>
      </c>
    </row>
    <row r="1971" spans="1:9">
      <c r="A1971" s="90"/>
      <c r="B1971" s="91"/>
      <c r="C1971" s="89"/>
      <c r="D1971" s="112"/>
      <c r="E1971" s="112"/>
      <c r="F1971" s="112"/>
      <c r="G1971" s="96"/>
      <c r="H1971" s="96">
        <f t="shared" si="113"/>
        <v>0</v>
      </c>
      <c r="I1971" s="96">
        <f t="shared" si="112"/>
        <v>0</v>
      </c>
    </row>
    <row r="1972" spans="1:9">
      <c r="A1972" s="90"/>
      <c r="B1972" s="91"/>
      <c r="C1972" s="89"/>
      <c r="D1972" s="112"/>
      <c r="E1972" s="112"/>
      <c r="F1972" s="112"/>
      <c r="G1972" s="96"/>
      <c r="H1972" s="96">
        <f t="shared" si="113"/>
        <v>0</v>
      </c>
      <c r="I1972" s="96">
        <f t="shared" si="112"/>
        <v>0</v>
      </c>
    </row>
    <row r="1973" spans="1:9">
      <c r="A1973" s="90"/>
      <c r="B1973" s="91"/>
      <c r="C1973" s="89"/>
      <c r="D1973" s="112"/>
      <c r="E1973" s="112"/>
      <c r="F1973" s="112"/>
      <c r="G1973" s="96"/>
      <c r="H1973" s="96">
        <f t="shared" si="113"/>
        <v>0</v>
      </c>
      <c r="I1973" s="96">
        <f t="shared" si="112"/>
        <v>0</v>
      </c>
    </row>
    <row r="1974" spans="1:9">
      <c r="A1974" s="90">
        <f>SUM(A1964:A1973)</f>
        <v>2</v>
      </c>
      <c r="B1974" s="91"/>
      <c r="C1974" s="74" t="str">
        <f>IF(B1974&lt;1,"-",VLOOKUP(B1974,HARGA01,2))</f>
        <v>-</v>
      </c>
      <c r="D1974" s="74"/>
      <c r="E1974" s="74"/>
      <c r="F1974" s="74"/>
      <c r="G1974" s="74"/>
      <c r="H1974" s="96">
        <f t="shared" si="113"/>
        <v>0</v>
      </c>
      <c r="I1974" s="96">
        <f t="shared" si="112"/>
        <v>0</v>
      </c>
    </row>
    <row r="1975" spans="1:9">
      <c r="A1975" s="634" t="s">
        <v>23</v>
      </c>
      <c r="B1975" s="635"/>
      <c r="C1975" s="634"/>
      <c r="D1975" s="634"/>
      <c r="E1975" s="634"/>
      <c r="F1975" s="634"/>
      <c r="G1975" s="634"/>
      <c r="H1975" s="636"/>
      <c r="I1975" s="96">
        <f>SUM(I1964:I1974)</f>
        <v>3559680</v>
      </c>
    </row>
    <row r="1976" spans="1:9">
      <c r="A1976" s="28" t="s">
        <v>24</v>
      </c>
      <c r="B1976" s="28"/>
      <c r="H1976" s="637" t="s">
        <v>25</v>
      </c>
      <c r="I1976" s="637"/>
    </row>
    <row r="1979" spans="1:9">
      <c r="H1979" s="94" t="s">
        <v>27</v>
      </c>
      <c r="I1979" s="25"/>
    </row>
    <row r="1980" spans="1:9" ht="27">
      <c r="A1980" s="2" t="s">
        <v>0</v>
      </c>
      <c r="B1980" s="2"/>
    </row>
    <row r="1981" spans="1:9">
      <c r="A1981" t="s">
        <v>1</v>
      </c>
      <c r="C1981" t="s">
        <v>2</v>
      </c>
      <c r="H1981" t="s">
        <v>3</v>
      </c>
      <c r="I1981" s="73">
        <v>44441</v>
      </c>
    </row>
    <row r="1982" spans="1:9">
      <c r="C1982" t="s">
        <v>4</v>
      </c>
      <c r="H1982" t="s">
        <v>5</v>
      </c>
      <c r="I1982" t="s">
        <v>48</v>
      </c>
    </row>
    <row r="1983" spans="1:9">
      <c r="C1983" t="s">
        <v>7</v>
      </c>
      <c r="H1983" s="86"/>
      <c r="I1983" s="86" t="s">
        <v>49</v>
      </c>
    </row>
    <row r="1984" spans="1:9">
      <c r="A1984" t="s">
        <v>8</v>
      </c>
      <c r="C1984" s="87" t="s">
        <v>9</v>
      </c>
      <c r="D1984" s="87"/>
      <c r="E1984" s="87"/>
      <c r="F1984" s="87"/>
      <c r="G1984" s="87"/>
      <c r="H1984" t="s">
        <v>10</v>
      </c>
    </row>
    <row r="1985" spans="1:9">
      <c r="A1985" t="s">
        <v>12</v>
      </c>
      <c r="C1985" t="s">
        <v>13</v>
      </c>
      <c r="H1985" t="s">
        <v>14</v>
      </c>
      <c r="I1985" t="s">
        <v>11</v>
      </c>
    </row>
    <row r="1986" spans="1:9">
      <c r="A1986" s="88" t="s">
        <v>15</v>
      </c>
      <c r="B1986" s="89"/>
      <c r="C1986" s="74" t="s">
        <v>16</v>
      </c>
      <c r="D1986" s="74" t="s">
        <v>81</v>
      </c>
      <c r="E1986" s="74" t="s">
        <v>82</v>
      </c>
      <c r="F1986" s="74" t="s">
        <v>83</v>
      </c>
      <c r="G1986" s="74" t="s">
        <v>84</v>
      </c>
      <c r="H1986" s="95" t="s">
        <v>85</v>
      </c>
      <c r="I1986" s="95" t="s">
        <v>18</v>
      </c>
    </row>
    <row r="1987" spans="1:9">
      <c r="A1987" s="90">
        <v>3</v>
      </c>
      <c r="B1987" s="91"/>
      <c r="C1987" s="89" t="s">
        <v>138</v>
      </c>
      <c r="D1987" s="112">
        <v>200</v>
      </c>
      <c r="E1987" s="112">
        <v>180</v>
      </c>
      <c r="F1987" s="112">
        <v>20</v>
      </c>
      <c r="G1987" s="96">
        <v>1648</v>
      </c>
      <c r="H1987" s="96">
        <f>D1987*E1987*F1987*G1987/1000</f>
        <v>1186560</v>
      </c>
      <c r="I1987" s="96">
        <f>IF(H1987="-","-",A1987*H1987)</f>
        <v>3559680</v>
      </c>
    </row>
    <row r="1988" spans="1:9">
      <c r="A1988" s="90">
        <v>4</v>
      </c>
      <c r="B1988" s="91"/>
      <c r="C1988" s="89" t="s">
        <v>128</v>
      </c>
      <c r="D1988" s="112"/>
      <c r="E1988" s="112"/>
      <c r="F1988" s="112"/>
      <c r="G1988" s="96"/>
      <c r="H1988" s="96">
        <v>260000</v>
      </c>
      <c r="I1988" s="96">
        <f t="shared" ref="I1988:I1997" si="114">IF(H1988="-","-",A1988*H1988)</f>
        <v>1040000</v>
      </c>
    </row>
    <row r="1989" spans="1:9">
      <c r="A1989" s="90"/>
      <c r="B1989" s="91"/>
      <c r="C1989" s="89"/>
      <c r="D1989" s="112"/>
      <c r="E1989" s="112"/>
      <c r="F1989" s="112"/>
      <c r="G1989" s="96"/>
      <c r="H1989" s="96">
        <f t="shared" ref="H1989:H1997" si="115">D1989*E1989*F1989*G1989/1000</f>
        <v>0</v>
      </c>
      <c r="I1989" s="96">
        <f t="shared" si="114"/>
        <v>0</v>
      </c>
    </row>
    <row r="1990" spans="1:9">
      <c r="A1990" s="90"/>
      <c r="B1990" s="91"/>
      <c r="C1990" s="89"/>
      <c r="D1990" s="112"/>
      <c r="E1990" s="112"/>
      <c r="F1990" s="112"/>
      <c r="G1990" s="96"/>
      <c r="H1990" s="96">
        <f t="shared" si="115"/>
        <v>0</v>
      </c>
      <c r="I1990" s="96">
        <f t="shared" si="114"/>
        <v>0</v>
      </c>
    </row>
    <row r="1991" spans="1:9">
      <c r="A1991" s="90"/>
      <c r="B1991" s="91"/>
      <c r="C1991" s="89"/>
      <c r="D1991" s="112"/>
      <c r="E1991" s="112"/>
      <c r="F1991" s="112"/>
      <c r="G1991" s="96"/>
      <c r="H1991" s="96">
        <f t="shared" si="115"/>
        <v>0</v>
      </c>
      <c r="I1991" s="96">
        <f t="shared" si="114"/>
        <v>0</v>
      </c>
    </row>
    <row r="1992" spans="1:9">
      <c r="A1992" s="90"/>
      <c r="B1992" s="91"/>
      <c r="C1992" s="89"/>
      <c r="D1992" s="112"/>
      <c r="E1992" s="112"/>
      <c r="F1992" s="112"/>
      <c r="G1992" s="96"/>
      <c r="H1992" s="96">
        <f t="shared" si="115"/>
        <v>0</v>
      </c>
      <c r="I1992" s="96">
        <f t="shared" si="114"/>
        <v>0</v>
      </c>
    </row>
    <row r="1993" spans="1:9">
      <c r="A1993" s="90"/>
      <c r="B1993" s="91"/>
      <c r="C1993" s="89"/>
      <c r="D1993" s="112"/>
      <c r="E1993" s="112"/>
      <c r="F1993" s="112"/>
      <c r="G1993" s="96"/>
      <c r="H1993" s="96">
        <f t="shared" si="115"/>
        <v>0</v>
      </c>
      <c r="I1993" s="96">
        <f t="shared" si="114"/>
        <v>0</v>
      </c>
    </row>
    <row r="1994" spans="1:9">
      <c r="A1994" s="90"/>
      <c r="B1994" s="91"/>
      <c r="C1994" s="89"/>
      <c r="D1994" s="112"/>
      <c r="E1994" s="112"/>
      <c r="F1994" s="112"/>
      <c r="G1994" s="96"/>
      <c r="H1994" s="96">
        <f t="shared" si="115"/>
        <v>0</v>
      </c>
      <c r="I1994" s="96">
        <f t="shared" si="114"/>
        <v>0</v>
      </c>
    </row>
    <row r="1995" spans="1:9">
      <c r="A1995" s="90"/>
      <c r="B1995" s="91"/>
      <c r="C1995" s="89"/>
      <c r="D1995" s="112"/>
      <c r="E1995" s="112"/>
      <c r="F1995" s="112"/>
      <c r="G1995" s="96"/>
      <c r="H1995" s="96">
        <f t="shared" si="115"/>
        <v>0</v>
      </c>
      <c r="I1995" s="96">
        <f t="shared" si="114"/>
        <v>0</v>
      </c>
    </row>
    <row r="1996" spans="1:9">
      <c r="A1996" s="90"/>
      <c r="B1996" s="91"/>
      <c r="C1996" s="89"/>
      <c r="D1996" s="112"/>
      <c r="E1996" s="112"/>
      <c r="F1996" s="112"/>
      <c r="G1996" s="96"/>
      <c r="H1996" s="96">
        <f t="shared" si="115"/>
        <v>0</v>
      </c>
      <c r="I1996" s="96">
        <f t="shared" si="114"/>
        <v>0</v>
      </c>
    </row>
    <row r="1997" spans="1:9">
      <c r="A1997" s="90">
        <f>SUM(A1987:A1996)</f>
        <v>7</v>
      </c>
      <c r="B1997" s="91"/>
      <c r="C1997" s="74" t="str">
        <f>IF(B1997&lt;1,"-",VLOOKUP(B1997,HARGA01,2))</f>
        <v>-</v>
      </c>
      <c r="D1997" s="74"/>
      <c r="E1997" s="74"/>
      <c r="F1997" s="74"/>
      <c r="G1997" s="74"/>
      <c r="H1997" s="96">
        <f t="shared" si="115"/>
        <v>0</v>
      </c>
      <c r="I1997" s="96">
        <f t="shared" si="114"/>
        <v>0</v>
      </c>
    </row>
    <row r="1998" spans="1:9">
      <c r="A1998" s="634" t="s">
        <v>23</v>
      </c>
      <c r="B1998" s="635"/>
      <c r="C1998" s="634"/>
      <c r="D1998" s="634"/>
      <c r="E1998" s="634"/>
      <c r="F1998" s="634"/>
      <c r="G1998" s="634"/>
      <c r="H1998" s="636"/>
      <c r="I1998" s="96">
        <f>SUM(I1987:I1997)</f>
        <v>4599680</v>
      </c>
    </row>
    <row r="1999" spans="1:9">
      <c r="A1999" s="28" t="s">
        <v>24</v>
      </c>
      <c r="B1999" s="28"/>
      <c r="H1999" s="637" t="s">
        <v>25</v>
      </c>
      <c r="I1999" s="637"/>
    </row>
    <row r="2002" spans="1:9">
      <c r="H2002" s="94" t="s">
        <v>27</v>
      </c>
      <c r="I2002" s="25"/>
    </row>
    <row r="2003" spans="1:9" ht="27">
      <c r="A2003" s="2" t="s">
        <v>0</v>
      </c>
      <c r="B2003" s="2"/>
    </row>
    <row r="2004" spans="1:9">
      <c r="A2004" t="s">
        <v>1</v>
      </c>
      <c r="C2004" t="s">
        <v>2</v>
      </c>
      <c r="H2004" t="s">
        <v>3</v>
      </c>
      <c r="I2004" s="73">
        <v>44429</v>
      </c>
    </row>
    <row r="2005" spans="1:9">
      <c r="C2005" t="s">
        <v>4</v>
      </c>
      <c r="H2005" t="s">
        <v>5</v>
      </c>
      <c r="I2005" t="s">
        <v>48</v>
      </c>
    </row>
    <row r="2006" spans="1:9">
      <c r="C2006" t="s">
        <v>7</v>
      </c>
      <c r="H2006" s="86"/>
      <c r="I2006" s="86" t="s">
        <v>49</v>
      </c>
    </row>
    <row r="2007" spans="1:9">
      <c r="A2007" t="s">
        <v>8</v>
      </c>
      <c r="C2007" s="87" t="s">
        <v>9</v>
      </c>
      <c r="D2007" s="87"/>
      <c r="E2007" s="87"/>
      <c r="F2007" s="87"/>
      <c r="G2007" s="87"/>
      <c r="H2007" t="s">
        <v>10</v>
      </c>
    </row>
    <row r="2008" spans="1:9">
      <c r="A2008" t="s">
        <v>12</v>
      </c>
      <c r="C2008" t="s">
        <v>13</v>
      </c>
      <c r="H2008" t="s">
        <v>14</v>
      </c>
      <c r="I2008" t="s">
        <v>11</v>
      </c>
    </row>
    <row r="2009" spans="1:9">
      <c r="A2009" s="88" t="s">
        <v>15</v>
      </c>
      <c r="B2009" s="89"/>
      <c r="C2009" s="74" t="s">
        <v>16</v>
      </c>
      <c r="D2009" s="74" t="s">
        <v>81</v>
      </c>
      <c r="E2009" s="74" t="s">
        <v>82</v>
      </c>
      <c r="F2009" s="74" t="s">
        <v>83</v>
      </c>
      <c r="G2009" s="74" t="s">
        <v>84</v>
      </c>
      <c r="H2009" s="95" t="s">
        <v>85</v>
      </c>
      <c r="I2009" s="95" t="s">
        <v>18</v>
      </c>
    </row>
    <row r="2010" spans="1:9">
      <c r="A2010" s="90">
        <v>2</v>
      </c>
      <c r="B2010" s="91"/>
      <c r="C2010" s="89" t="s">
        <v>138</v>
      </c>
      <c r="D2010" s="112">
        <v>200</v>
      </c>
      <c r="E2010" s="112">
        <v>180</v>
      </c>
      <c r="F2010" s="112">
        <v>30</v>
      </c>
      <c r="G2010" s="96">
        <v>1648</v>
      </c>
      <c r="H2010" s="96">
        <f>D2010*E2010*F2010*G2010/1000</f>
        <v>1779840</v>
      </c>
      <c r="I2010" s="96">
        <f t="shared" ref="I2010:I2020" si="116">IF(H2010="-","-",A2010*H2010)</f>
        <v>3559680</v>
      </c>
    </row>
    <row r="2011" spans="1:9">
      <c r="A2011" s="90"/>
      <c r="B2011" s="91"/>
      <c r="C2011" s="89"/>
      <c r="D2011" s="112"/>
      <c r="E2011" s="112"/>
      <c r="F2011" s="112"/>
      <c r="G2011" s="96"/>
      <c r="H2011" s="96">
        <f>D2011*E2011*F2011*G2011/1000</f>
        <v>0</v>
      </c>
      <c r="I2011" s="96">
        <f t="shared" si="116"/>
        <v>0</v>
      </c>
    </row>
    <row r="2012" spans="1:9">
      <c r="A2012" s="90"/>
      <c r="B2012" s="91"/>
      <c r="C2012" s="89"/>
      <c r="D2012" s="112"/>
      <c r="E2012" s="112"/>
      <c r="F2012" s="112"/>
      <c r="G2012" s="96"/>
      <c r="H2012" s="96">
        <f t="shared" ref="H2012:H2020" si="117">D2012*E2012*F2012*G2012/1000</f>
        <v>0</v>
      </c>
      <c r="I2012" s="96">
        <f t="shared" si="116"/>
        <v>0</v>
      </c>
    </row>
    <row r="2013" spans="1:9">
      <c r="A2013" s="90"/>
      <c r="B2013" s="91"/>
      <c r="C2013" s="89"/>
      <c r="D2013" s="112"/>
      <c r="E2013" s="112"/>
      <c r="F2013" s="112"/>
      <c r="G2013" s="96"/>
      <c r="H2013" s="96">
        <f t="shared" si="117"/>
        <v>0</v>
      </c>
      <c r="I2013" s="96">
        <f t="shared" si="116"/>
        <v>0</v>
      </c>
    </row>
    <row r="2014" spans="1:9">
      <c r="A2014" s="90"/>
      <c r="B2014" s="91"/>
      <c r="C2014" s="89"/>
      <c r="D2014" s="112"/>
      <c r="E2014" s="112"/>
      <c r="F2014" s="112"/>
      <c r="G2014" s="96"/>
      <c r="H2014" s="96">
        <f t="shared" si="117"/>
        <v>0</v>
      </c>
      <c r="I2014" s="96">
        <f t="shared" si="116"/>
        <v>0</v>
      </c>
    </row>
    <row r="2015" spans="1:9">
      <c r="A2015" s="90"/>
      <c r="B2015" s="91"/>
      <c r="C2015" s="89"/>
      <c r="D2015" s="112"/>
      <c r="E2015" s="112"/>
      <c r="F2015" s="112"/>
      <c r="G2015" s="96"/>
      <c r="H2015" s="96">
        <f t="shared" si="117"/>
        <v>0</v>
      </c>
      <c r="I2015" s="96">
        <f t="shared" si="116"/>
        <v>0</v>
      </c>
    </row>
    <row r="2016" spans="1:9">
      <c r="A2016" s="90"/>
      <c r="B2016" s="91"/>
      <c r="C2016" s="89"/>
      <c r="D2016" s="112"/>
      <c r="E2016" s="112"/>
      <c r="F2016" s="112"/>
      <c r="G2016" s="96"/>
      <c r="H2016" s="96">
        <f t="shared" si="117"/>
        <v>0</v>
      </c>
      <c r="I2016" s="96">
        <f t="shared" si="116"/>
        <v>0</v>
      </c>
    </row>
    <row r="2017" spans="1:9">
      <c r="A2017" s="90"/>
      <c r="B2017" s="91"/>
      <c r="C2017" s="89"/>
      <c r="D2017" s="112"/>
      <c r="E2017" s="112"/>
      <c r="F2017" s="112"/>
      <c r="G2017" s="96"/>
      <c r="H2017" s="96">
        <f t="shared" si="117"/>
        <v>0</v>
      </c>
      <c r="I2017" s="96">
        <f t="shared" si="116"/>
        <v>0</v>
      </c>
    </row>
    <row r="2018" spans="1:9">
      <c r="A2018" s="90"/>
      <c r="B2018" s="91"/>
      <c r="C2018" s="89"/>
      <c r="D2018" s="112"/>
      <c r="E2018" s="112"/>
      <c r="F2018" s="112"/>
      <c r="G2018" s="96"/>
      <c r="H2018" s="96">
        <f t="shared" si="117"/>
        <v>0</v>
      </c>
      <c r="I2018" s="96">
        <f t="shared" si="116"/>
        <v>0</v>
      </c>
    </row>
    <row r="2019" spans="1:9">
      <c r="A2019" s="90"/>
      <c r="B2019" s="91"/>
      <c r="C2019" s="89"/>
      <c r="D2019" s="112"/>
      <c r="E2019" s="112"/>
      <c r="F2019" s="112"/>
      <c r="G2019" s="96"/>
      <c r="H2019" s="96">
        <f t="shared" si="117"/>
        <v>0</v>
      </c>
      <c r="I2019" s="96">
        <f t="shared" si="116"/>
        <v>0</v>
      </c>
    </row>
    <row r="2020" spans="1:9">
      <c r="A2020" s="90">
        <f>SUM(A2010:A2019)</f>
        <v>2</v>
      </c>
      <c r="B2020" s="91"/>
      <c r="C2020" s="74" t="str">
        <f>IF(B2020&lt;1,"-",VLOOKUP(B2020,HARGA01,2))</f>
        <v>-</v>
      </c>
      <c r="D2020" s="74"/>
      <c r="E2020" s="74"/>
      <c r="F2020" s="74"/>
      <c r="G2020" s="74"/>
      <c r="H2020" s="96">
        <f t="shared" si="117"/>
        <v>0</v>
      </c>
      <c r="I2020" s="96">
        <f t="shared" si="116"/>
        <v>0</v>
      </c>
    </row>
    <row r="2021" spans="1:9">
      <c r="A2021" s="634" t="s">
        <v>23</v>
      </c>
      <c r="B2021" s="635"/>
      <c r="C2021" s="634"/>
      <c r="D2021" s="634"/>
      <c r="E2021" s="634"/>
      <c r="F2021" s="634"/>
      <c r="G2021" s="634"/>
      <c r="H2021" s="636"/>
      <c r="I2021" s="96">
        <f>SUM(I2010:I2020)</f>
        <v>3559680</v>
      </c>
    </row>
    <row r="2022" spans="1:9">
      <c r="A2022" s="28" t="s">
        <v>24</v>
      </c>
      <c r="B2022" s="28"/>
      <c r="H2022" s="637" t="s">
        <v>25</v>
      </c>
      <c r="I2022" s="637"/>
    </row>
    <row r="2025" spans="1:9">
      <c r="H2025" s="94" t="s">
        <v>27</v>
      </c>
      <c r="I2025" s="25"/>
    </row>
    <row r="2027" spans="1:9" ht="31.5">
      <c r="A2027" s="1" t="s">
        <v>139</v>
      </c>
      <c r="B2027" s="2"/>
      <c r="E2027" s="3">
        <v>44754</v>
      </c>
    </row>
    <row r="2028" spans="1:9" ht="18.75">
      <c r="A2028" s="4" t="s">
        <v>140</v>
      </c>
      <c r="B2028" s="4"/>
      <c r="C2028" s="4" t="s">
        <v>2</v>
      </c>
      <c r="D2028" s="4"/>
      <c r="E2028" s="5" t="s">
        <v>141</v>
      </c>
    </row>
    <row r="2029" spans="1:9" ht="18.75">
      <c r="A2029" s="4" t="s">
        <v>8</v>
      </c>
      <c r="B2029" s="4"/>
      <c r="C2029" s="6" t="s">
        <v>9</v>
      </c>
      <c r="D2029" s="4"/>
      <c r="E2029" s="4" t="s">
        <v>142</v>
      </c>
    </row>
    <row r="2030" spans="1:9" ht="18.75">
      <c r="A2030" s="4"/>
      <c r="B2030" s="4"/>
      <c r="C2030" s="6"/>
      <c r="D2030" s="4"/>
      <c r="E2030" s="4"/>
    </row>
    <row r="2031" spans="1:9" ht="18.75">
      <c r="A2031" s="4"/>
      <c r="B2031" s="4"/>
      <c r="C2031" s="6"/>
      <c r="D2031" s="4"/>
      <c r="E2031" s="4"/>
    </row>
    <row r="2032" spans="1:9" ht="18.75">
      <c r="A2032" s="7" t="s">
        <v>15</v>
      </c>
      <c r="B2032" s="8"/>
      <c r="C2032" s="8" t="s">
        <v>16</v>
      </c>
      <c r="D2032" s="9" t="s">
        <v>17</v>
      </c>
      <c r="E2032" s="9" t="s">
        <v>17</v>
      </c>
    </row>
    <row r="2033" spans="1:5" ht="18.75">
      <c r="A2033" s="10">
        <v>334</v>
      </c>
      <c r="B2033" s="11"/>
      <c r="C2033" s="12" t="s">
        <v>143</v>
      </c>
      <c r="D2033" s="13">
        <v>46500</v>
      </c>
      <c r="E2033" s="14">
        <f t="shared" ref="E2033:E2038" si="118">IF(D2033="-","-",A2033*D2033)</f>
        <v>15531000</v>
      </c>
    </row>
    <row r="2034" spans="1:5" ht="18.75">
      <c r="A2034" s="10"/>
      <c r="B2034" s="11"/>
      <c r="C2034" s="12"/>
      <c r="D2034" s="15" t="str">
        <f>IFERROR(INDEX(barang,MATCH(C2034,nmbarang,0),2),"-")</f>
        <v>-</v>
      </c>
      <c r="E2034" s="14" t="str">
        <f t="shared" si="118"/>
        <v>-</v>
      </c>
    </row>
    <row r="2035" spans="1:5" ht="18.75">
      <c r="A2035" s="10"/>
      <c r="B2035" s="11"/>
      <c r="C2035" s="12"/>
      <c r="D2035" s="15" t="str">
        <f>IFERROR(INDEX(barang,MATCH(C2035,nmbarang,0),2),"-")</f>
        <v>-</v>
      </c>
      <c r="E2035" s="14" t="str">
        <f t="shared" si="118"/>
        <v>-</v>
      </c>
    </row>
    <row r="2036" spans="1:5" ht="18.75">
      <c r="A2036" s="10"/>
      <c r="B2036" s="11"/>
      <c r="C2036" s="12"/>
      <c r="D2036" s="15" t="str">
        <f>IFERROR(INDEX(barang,MATCH(C2036,nmbarang,0),2),"-")</f>
        <v>-</v>
      </c>
      <c r="E2036" s="14" t="str">
        <f t="shared" si="118"/>
        <v>-</v>
      </c>
    </row>
    <row r="2037" spans="1:5" ht="18.75">
      <c r="A2037" s="10"/>
      <c r="B2037" s="11"/>
      <c r="C2037" s="12"/>
      <c r="D2037" s="15" t="str">
        <f>IFERROR(INDEX(barang,MATCH(C2037,nmbarang,0),2),"-")</f>
        <v>-</v>
      </c>
      <c r="E2037" s="14" t="str">
        <f t="shared" si="118"/>
        <v>-</v>
      </c>
    </row>
    <row r="2038" spans="1:5" ht="18.75">
      <c r="A2038" s="10"/>
      <c r="B2038" s="11"/>
      <c r="C2038" s="12"/>
      <c r="D2038" s="15" t="str">
        <f>IFERROR(INDEX(barang,MATCH(C2038,nmbarang,0),2),"-")</f>
        <v>-</v>
      </c>
      <c r="E2038" s="14" t="str">
        <f t="shared" si="118"/>
        <v>-</v>
      </c>
    </row>
    <row r="2039" spans="1:5" ht="18.75">
      <c r="A2039" s="16"/>
      <c r="B2039" s="17"/>
      <c r="C2039" s="18"/>
      <c r="D2039" s="19" t="s">
        <v>144</v>
      </c>
      <c r="E2039" s="19"/>
    </row>
    <row r="2040" spans="1:5" ht="18.75">
      <c r="A2040" s="639"/>
      <c r="B2040" s="639"/>
      <c r="C2040" s="639"/>
      <c r="D2040" s="639"/>
      <c r="E2040" s="20">
        <f>SUM(E2033:E2039)</f>
        <v>15531000</v>
      </c>
    </row>
    <row r="2041" spans="1:5" ht="18.75">
      <c r="B2041" s="21"/>
      <c r="C2041" s="4" t="s">
        <v>144</v>
      </c>
      <c r="D2041" s="640"/>
      <c r="E2041" s="641"/>
    </row>
    <row r="2042" spans="1:5" ht="18.75">
      <c r="A2042" s="21" t="s">
        <v>145</v>
      </c>
      <c r="B2042" s="4"/>
      <c r="C2042" s="4"/>
      <c r="D2042" s="4" t="s">
        <v>146</v>
      </c>
    </row>
    <row r="2043" spans="1:5" ht="18.75">
      <c r="A2043" s="4"/>
      <c r="B2043" s="4"/>
      <c r="C2043" s="4"/>
      <c r="D2043" s="4"/>
      <c r="E2043" s="22"/>
    </row>
    <row r="2044" spans="1:5" ht="18.75">
      <c r="A2044" s="4" t="s">
        <v>26</v>
      </c>
      <c r="B2044" s="4"/>
      <c r="C2044" s="4"/>
      <c r="D2044" s="23" t="s">
        <v>147</v>
      </c>
      <c r="E2044" s="24"/>
    </row>
    <row r="2046" spans="1:5" ht="31.5">
      <c r="A2046" s="1" t="s">
        <v>139</v>
      </c>
      <c r="B2046" s="2"/>
      <c r="E2046" s="3">
        <v>44785</v>
      </c>
    </row>
    <row r="2047" spans="1:5" ht="18.75">
      <c r="A2047" s="4" t="s">
        <v>140</v>
      </c>
      <c r="B2047" s="4"/>
      <c r="C2047" s="4" t="s">
        <v>2</v>
      </c>
      <c r="D2047" s="4"/>
      <c r="E2047" s="5" t="s">
        <v>141</v>
      </c>
    </row>
    <row r="2048" spans="1:5" ht="18.75">
      <c r="A2048" s="4" t="s">
        <v>8</v>
      </c>
      <c r="B2048" s="4"/>
      <c r="C2048" s="6" t="s">
        <v>9</v>
      </c>
      <c r="D2048" s="4"/>
      <c r="E2048" s="4" t="s">
        <v>142</v>
      </c>
    </row>
    <row r="2049" spans="1:5" ht="18.75">
      <c r="A2049" s="4"/>
      <c r="B2049" s="4"/>
      <c r="C2049" s="6"/>
      <c r="D2049" s="4"/>
      <c r="E2049" s="4"/>
    </row>
    <row r="2050" spans="1:5" ht="18.75">
      <c r="A2050" s="4"/>
      <c r="B2050" s="4"/>
      <c r="C2050" s="6"/>
      <c r="D2050" s="4"/>
      <c r="E2050" s="4"/>
    </row>
    <row r="2051" spans="1:5" ht="18.75">
      <c r="A2051" s="7" t="s">
        <v>15</v>
      </c>
      <c r="B2051" s="8"/>
      <c r="C2051" s="8" t="s">
        <v>16</v>
      </c>
      <c r="D2051" s="9" t="s">
        <v>17</v>
      </c>
      <c r="E2051" s="9" t="s">
        <v>17</v>
      </c>
    </row>
    <row r="2052" spans="1:5" ht="18.75">
      <c r="A2052" s="10">
        <v>300</v>
      </c>
      <c r="B2052" s="11"/>
      <c r="C2052" s="12" t="s">
        <v>148</v>
      </c>
      <c r="D2052" s="13">
        <v>46500</v>
      </c>
      <c r="E2052" s="14">
        <f t="shared" ref="E2052:E2057" si="119">IF(D2052="-","-",A2052*D2052)</f>
        <v>13950000</v>
      </c>
    </row>
    <row r="2053" spans="1:5" ht="18.75">
      <c r="A2053" s="10"/>
      <c r="B2053" s="11"/>
      <c r="C2053" s="12"/>
      <c r="D2053" s="15" t="str">
        <f>IFERROR(INDEX(barang,MATCH(C2053,nmbarang,0),2),"-")</f>
        <v>-</v>
      </c>
      <c r="E2053" s="14" t="str">
        <f t="shared" si="119"/>
        <v>-</v>
      </c>
    </row>
    <row r="2054" spans="1:5" ht="18.75">
      <c r="A2054" s="10"/>
      <c r="B2054" s="11"/>
      <c r="C2054" s="12"/>
      <c r="D2054" s="15" t="str">
        <f>IFERROR(INDEX(barang,MATCH(C2054,nmbarang,0),2),"-")</f>
        <v>-</v>
      </c>
      <c r="E2054" s="14" t="str">
        <f t="shared" si="119"/>
        <v>-</v>
      </c>
    </row>
    <row r="2055" spans="1:5" ht="18.75">
      <c r="A2055" s="10"/>
      <c r="B2055" s="11"/>
      <c r="C2055" s="12"/>
      <c r="D2055" s="15" t="str">
        <f>IFERROR(INDEX(barang,MATCH(C2055,nmbarang,0),2),"-")</f>
        <v>-</v>
      </c>
      <c r="E2055" s="14" t="str">
        <f t="shared" si="119"/>
        <v>-</v>
      </c>
    </row>
    <row r="2056" spans="1:5" ht="18.75">
      <c r="A2056" s="10"/>
      <c r="B2056" s="11"/>
      <c r="C2056" s="12"/>
      <c r="D2056" s="15" t="str">
        <f>IFERROR(INDEX(barang,MATCH(C2056,nmbarang,0),2),"-")</f>
        <v>-</v>
      </c>
      <c r="E2056" s="14" t="str">
        <f t="shared" si="119"/>
        <v>-</v>
      </c>
    </row>
    <row r="2057" spans="1:5" ht="18.75">
      <c r="A2057" s="10"/>
      <c r="B2057" s="11"/>
      <c r="C2057" s="12"/>
      <c r="D2057" s="15" t="str">
        <f>IFERROR(INDEX(barang,MATCH(C2057,nmbarang,0),2),"-")</f>
        <v>-</v>
      </c>
      <c r="E2057" s="14" t="str">
        <f t="shared" si="119"/>
        <v>-</v>
      </c>
    </row>
    <row r="2058" spans="1:5" ht="18.75">
      <c r="A2058" s="16"/>
      <c r="B2058" s="17"/>
      <c r="C2058" s="18"/>
      <c r="D2058" s="19" t="s">
        <v>144</v>
      </c>
      <c r="E2058" s="19"/>
    </row>
    <row r="2059" spans="1:5" ht="18.75">
      <c r="A2059" s="639"/>
      <c r="B2059" s="639"/>
      <c r="C2059" s="639"/>
      <c r="D2059" s="639"/>
      <c r="E2059" s="20">
        <f>SUM(E2052:E2058)</f>
        <v>13950000</v>
      </c>
    </row>
    <row r="2060" spans="1:5" ht="18.75">
      <c r="B2060" s="21"/>
      <c r="C2060" s="4" t="s">
        <v>144</v>
      </c>
      <c r="D2060" s="640"/>
      <c r="E2060" s="641"/>
    </row>
    <row r="2061" spans="1:5" ht="18.75">
      <c r="A2061" s="21" t="s">
        <v>145</v>
      </c>
      <c r="B2061" s="4"/>
      <c r="C2061" s="4"/>
      <c r="D2061" s="4" t="s">
        <v>146</v>
      </c>
    </row>
    <row r="2062" spans="1:5" ht="18.75">
      <c r="A2062" s="4"/>
      <c r="B2062" s="4"/>
      <c r="C2062" s="4"/>
      <c r="D2062" s="4"/>
      <c r="E2062" s="22"/>
    </row>
    <row r="2063" spans="1:5" ht="18.75">
      <c r="A2063" s="4" t="s">
        <v>26</v>
      </c>
      <c r="B2063" s="4"/>
      <c r="C2063" s="4"/>
      <c r="D2063" s="23" t="s">
        <v>147</v>
      </c>
      <c r="E2063" s="24"/>
    </row>
    <row r="2065" spans="1:5" ht="31.5">
      <c r="A2065" s="1" t="s">
        <v>139</v>
      </c>
      <c r="B2065" s="2"/>
      <c r="E2065" s="3">
        <v>44785</v>
      </c>
    </row>
    <row r="2066" spans="1:5" ht="18.75">
      <c r="A2066" s="4" t="s">
        <v>140</v>
      </c>
      <c r="B2066" s="4"/>
      <c r="C2066" s="4" t="s">
        <v>2</v>
      </c>
      <c r="D2066" s="4"/>
      <c r="E2066" s="5" t="s">
        <v>141</v>
      </c>
    </row>
    <row r="2067" spans="1:5" ht="18.75">
      <c r="A2067" s="4" t="s">
        <v>8</v>
      </c>
      <c r="B2067" s="4"/>
      <c r="C2067" s="6" t="s">
        <v>9</v>
      </c>
      <c r="D2067" s="4"/>
      <c r="E2067" s="4" t="s">
        <v>142</v>
      </c>
    </row>
    <row r="2068" spans="1:5" ht="18.75">
      <c r="A2068" s="4"/>
      <c r="B2068" s="4"/>
      <c r="C2068" s="6"/>
      <c r="D2068" s="4"/>
      <c r="E2068" s="4"/>
    </row>
    <row r="2069" spans="1:5" ht="18.75">
      <c r="A2069" s="4"/>
      <c r="B2069" s="4"/>
      <c r="C2069" s="6"/>
      <c r="D2069" s="4"/>
      <c r="E2069" s="4"/>
    </row>
    <row r="2070" spans="1:5" ht="18.75">
      <c r="A2070" s="7" t="s">
        <v>15</v>
      </c>
      <c r="B2070" s="8"/>
      <c r="C2070" s="8" t="s">
        <v>16</v>
      </c>
      <c r="D2070" s="9" t="s">
        <v>17</v>
      </c>
      <c r="E2070" s="9" t="s">
        <v>17</v>
      </c>
    </row>
    <row r="2071" spans="1:5" ht="18.75">
      <c r="A2071" s="10">
        <v>361</v>
      </c>
      <c r="B2071" s="11"/>
      <c r="C2071" s="12" t="s">
        <v>148</v>
      </c>
      <c r="D2071" s="13">
        <v>46500</v>
      </c>
      <c r="E2071" s="14">
        <f t="shared" ref="E2071:E2076" si="120">IF(D2071="-","-",A2071*D2071)</f>
        <v>16786500</v>
      </c>
    </row>
    <row r="2072" spans="1:5" ht="18.75">
      <c r="A2072" s="10"/>
      <c r="B2072" s="11"/>
      <c r="C2072" s="12"/>
      <c r="D2072" s="15" t="str">
        <f>IFERROR(INDEX(barang,MATCH(C2072,nmbarang,0),2),"-")</f>
        <v>-</v>
      </c>
      <c r="E2072" s="14" t="str">
        <f t="shared" si="120"/>
        <v>-</v>
      </c>
    </row>
    <row r="2073" spans="1:5" ht="18.75">
      <c r="A2073" s="10"/>
      <c r="B2073" s="11"/>
      <c r="C2073" s="12"/>
      <c r="D2073" s="15" t="str">
        <f>IFERROR(INDEX(barang,MATCH(C2073,nmbarang,0),2),"-")</f>
        <v>-</v>
      </c>
      <c r="E2073" s="14" t="str">
        <f t="shared" si="120"/>
        <v>-</v>
      </c>
    </row>
    <row r="2074" spans="1:5" ht="18.75">
      <c r="A2074" s="10"/>
      <c r="B2074" s="11"/>
      <c r="C2074" s="12"/>
      <c r="D2074" s="15" t="str">
        <f>IFERROR(INDEX(barang,MATCH(C2074,nmbarang,0),2),"-")</f>
        <v>-</v>
      </c>
      <c r="E2074" s="14" t="str">
        <f t="shared" si="120"/>
        <v>-</v>
      </c>
    </row>
    <row r="2075" spans="1:5" ht="18.75">
      <c r="A2075" s="10"/>
      <c r="B2075" s="11"/>
      <c r="C2075" s="12"/>
      <c r="D2075" s="15" t="str">
        <f>IFERROR(INDEX(barang,MATCH(C2075,nmbarang,0),2),"-")</f>
        <v>-</v>
      </c>
      <c r="E2075" s="14" t="str">
        <f t="shared" si="120"/>
        <v>-</v>
      </c>
    </row>
    <row r="2076" spans="1:5" ht="18.75">
      <c r="A2076" s="10"/>
      <c r="B2076" s="11"/>
      <c r="C2076" s="12"/>
      <c r="D2076" s="15" t="str">
        <f>IFERROR(INDEX(barang,MATCH(C2076,nmbarang,0),2),"-")</f>
        <v>-</v>
      </c>
      <c r="E2076" s="14" t="str">
        <f t="shared" si="120"/>
        <v>-</v>
      </c>
    </row>
    <row r="2077" spans="1:5" ht="18.75">
      <c r="A2077" s="16"/>
      <c r="B2077" s="17"/>
      <c r="C2077" s="18"/>
      <c r="D2077" s="19" t="s">
        <v>144</v>
      </c>
      <c r="E2077" s="19"/>
    </row>
    <row r="2078" spans="1:5" ht="18.75">
      <c r="A2078" s="639"/>
      <c r="B2078" s="639"/>
      <c r="C2078" s="639"/>
      <c r="D2078" s="639"/>
      <c r="E2078" s="20">
        <f>SUM(E2071:E2077)</f>
        <v>16786500</v>
      </c>
    </row>
    <row r="2079" spans="1:5" ht="18.75">
      <c r="B2079" s="21"/>
      <c r="C2079" s="4" t="s">
        <v>144</v>
      </c>
      <c r="D2079" s="640"/>
      <c r="E2079" s="641"/>
    </row>
    <row r="2080" spans="1:5" ht="18.75">
      <c r="A2080" s="21" t="s">
        <v>145</v>
      </c>
      <c r="B2080" s="4"/>
      <c r="C2080" s="4"/>
      <c r="D2080" s="4" t="s">
        <v>146</v>
      </c>
    </row>
    <row r="2081" spans="1:5" ht="18.75">
      <c r="A2081" s="4"/>
      <c r="B2081" s="4"/>
      <c r="C2081" s="4"/>
      <c r="D2081" s="4"/>
      <c r="E2081" s="22"/>
    </row>
    <row r="2082" spans="1:5" ht="18.75">
      <c r="A2082" s="4" t="s">
        <v>26</v>
      </c>
      <c r="B2082" s="4"/>
      <c r="C2082" s="4"/>
      <c r="D2082" s="23" t="s">
        <v>147</v>
      </c>
      <c r="E2082" s="24"/>
    </row>
    <row r="2084" spans="1:5" ht="31.5">
      <c r="A2084" s="1" t="s">
        <v>139</v>
      </c>
      <c r="B2084" s="2"/>
      <c r="E2084" s="3">
        <v>44723</v>
      </c>
    </row>
    <row r="2085" spans="1:5" ht="18.75">
      <c r="A2085" s="4" t="s">
        <v>140</v>
      </c>
      <c r="B2085" s="4"/>
      <c r="C2085" s="4" t="s">
        <v>2</v>
      </c>
      <c r="D2085" s="4"/>
      <c r="E2085" s="5" t="s">
        <v>141</v>
      </c>
    </row>
    <row r="2086" spans="1:5" ht="18.75">
      <c r="A2086" s="4" t="s">
        <v>8</v>
      </c>
      <c r="B2086" s="4"/>
      <c r="C2086" s="6" t="s">
        <v>9</v>
      </c>
      <c r="D2086" s="4"/>
      <c r="E2086" s="4" t="s">
        <v>142</v>
      </c>
    </row>
    <row r="2087" spans="1:5" ht="18.75">
      <c r="A2087" s="4"/>
      <c r="B2087" s="4"/>
      <c r="C2087" s="6"/>
      <c r="D2087" s="4"/>
      <c r="E2087" s="4"/>
    </row>
    <row r="2088" spans="1:5" ht="18.75">
      <c r="A2088" s="4"/>
      <c r="B2088" s="4"/>
      <c r="C2088" s="6"/>
      <c r="D2088" s="4"/>
      <c r="E2088" s="4"/>
    </row>
    <row r="2089" spans="1:5" ht="18.75">
      <c r="A2089" s="7" t="s">
        <v>15</v>
      </c>
      <c r="B2089" s="8"/>
      <c r="C2089" s="8" t="s">
        <v>16</v>
      </c>
      <c r="D2089" s="9" t="s">
        <v>17</v>
      </c>
      <c r="E2089" s="9" t="s">
        <v>17</v>
      </c>
    </row>
    <row r="2090" spans="1:5" ht="18.75">
      <c r="A2090" s="10">
        <v>305</v>
      </c>
      <c r="B2090" s="11"/>
      <c r="C2090" s="12" t="s">
        <v>143</v>
      </c>
      <c r="D2090" s="13">
        <v>48000</v>
      </c>
      <c r="E2090" s="14">
        <f t="shared" ref="E2090:E2095" si="121">IF(D2090="-","-",A2090*D2090)</f>
        <v>14640000</v>
      </c>
    </row>
    <row r="2091" spans="1:5" ht="18.75">
      <c r="A2091" s="10"/>
      <c r="B2091" s="11"/>
      <c r="C2091" s="12"/>
      <c r="D2091" s="15" t="str">
        <f>IFERROR(INDEX(barang,MATCH(C2091,nmbarang,0),2),"-")</f>
        <v>-</v>
      </c>
      <c r="E2091" s="14" t="str">
        <f t="shared" si="121"/>
        <v>-</v>
      </c>
    </row>
    <row r="2092" spans="1:5" ht="18.75">
      <c r="A2092" s="10"/>
      <c r="B2092" s="11"/>
      <c r="C2092" s="12"/>
      <c r="D2092" s="15" t="str">
        <f>IFERROR(INDEX(barang,MATCH(C2092,nmbarang,0),2),"-")</f>
        <v>-</v>
      </c>
      <c r="E2092" s="14" t="str">
        <f t="shared" si="121"/>
        <v>-</v>
      </c>
    </row>
    <row r="2093" spans="1:5" ht="18.75">
      <c r="A2093" s="10"/>
      <c r="B2093" s="11"/>
      <c r="C2093" s="12"/>
      <c r="D2093" s="15" t="str">
        <f>IFERROR(INDEX(barang,MATCH(C2093,nmbarang,0),2),"-")</f>
        <v>-</v>
      </c>
      <c r="E2093" s="14" t="str">
        <f t="shared" si="121"/>
        <v>-</v>
      </c>
    </row>
    <row r="2094" spans="1:5" ht="18.75">
      <c r="A2094" s="10"/>
      <c r="B2094" s="11"/>
      <c r="C2094" s="12"/>
      <c r="D2094" s="15" t="str">
        <f>IFERROR(INDEX(barang,MATCH(C2094,nmbarang,0),2),"-")</f>
        <v>-</v>
      </c>
      <c r="E2094" s="14" t="str">
        <f t="shared" si="121"/>
        <v>-</v>
      </c>
    </row>
    <row r="2095" spans="1:5" ht="18.75">
      <c r="A2095" s="10"/>
      <c r="B2095" s="11"/>
      <c r="C2095" s="12"/>
      <c r="D2095" s="15" t="str">
        <f>IFERROR(INDEX(barang,MATCH(C2095,nmbarang,0),2),"-")</f>
        <v>-</v>
      </c>
      <c r="E2095" s="14" t="str">
        <f t="shared" si="121"/>
        <v>-</v>
      </c>
    </row>
    <row r="2096" spans="1:5" ht="18.75">
      <c r="A2096" s="16"/>
      <c r="B2096" s="17"/>
      <c r="C2096" s="18"/>
      <c r="D2096" s="19" t="s">
        <v>144</v>
      </c>
      <c r="E2096" s="19"/>
    </row>
    <row r="2097" spans="1:5" ht="18.75">
      <c r="A2097" s="639"/>
      <c r="B2097" s="639"/>
      <c r="C2097" s="639"/>
      <c r="D2097" s="639"/>
      <c r="E2097" s="20">
        <f>SUM(E2090:E2096)</f>
        <v>14640000</v>
      </c>
    </row>
    <row r="2098" spans="1:5" ht="18.75">
      <c r="B2098" s="21"/>
      <c r="C2098" s="4" t="s">
        <v>144</v>
      </c>
      <c r="D2098" s="640"/>
      <c r="E2098" s="641"/>
    </row>
    <row r="2099" spans="1:5" ht="18.75">
      <c r="A2099" s="21" t="s">
        <v>145</v>
      </c>
      <c r="B2099" s="4"/>
      <c r="C2099" s="4"/>
      <c r="D2099" s="4" t="s">
        <v>146</v>
      </c>
    </row>
    <row r="2100" spans="1:5" ht="18.75">
      <c r="A2100" s="4"/>
      <c r="B2100" s="4"/>
      <c r="C2100" s="4"/>
      <c r="D2100" s="4"/>
      <c r="E2100" s="22"/>
    </row>
    <row r="2101" spans="1:5" ht="18.75">
      <c r="A2101" s="4" t="s">
        <v>26</v>
      </c>
      <c r="B2101" s="4"/>
      <c r="C2101" s="4"/>
      <c r="D2101" s="23" t="s">
        <v>147</v>
      </c>
      <c r="E2101" s="24"/>
    </row>
    <row r="2103" spans="1:5" ht="31.5">
      <c r="A2103" s="1" t="s">
        <v>139</v>
      </c>
      <c r="B2103" s="2"/>
      <c r="E2103" s="3">
        <v>44846</v>
      </c>
    </row>
    <row r="2104" spans="1:5" ht="18.75">
      <c r="A2104" s="4" t="s">
        <v>140</v>
      </c>
      <c r="B2104" s="4"/>
      <c r="C2104" s="4" t="s">
        <v>2</v>
      </c>
      <c r="D2104" s="4"/>
      <c r="E2104" s="5" t="s">
        <v>141</v>
      </c>
    </row>
    <row r="2105" spans="1:5" ht="18.75">
      <c r="A2105" s="4" t="s">
        <v>8</v>
      </c>
      <c r="B2105" s="4"/>
      <c r="C2105" s="6" t="s">
        <v>9</v>
      </c>
      <c r="D2105" s="4"/>
      <c r="E2105" s="4" t="s">
        <v>142</v>
      </c>
    </row>
    <row r="2106" spans="1:5" ht="18.75">
      <c r="A2106" s="4"/>
      <c r="B2106" s="4"/>
      <c r="C2106" s="6"/>
      <c r="D2106" s="4"/>
      <c r="E2106" s="4"/>
    </row>
    <row r="2107" spans="1:5" ht="18.75">
      <c r="A2107" s="4"/>
      <c r="B2107" s="4"/>
      <c r="C2107" s="6"/>
      <c r="D2107" s="4"/>
      <c r="E2107" s="4"/>
    </row>
    <row r="2108" spans="1:5" ht="18.75">
      <c r="A2108" s="7" t="s">
        <v>15</v>
      </c>
      <c r="B2108" s="8"/>
      <c r="C2108" s="8" t="s">
        <v>16</v>
      </c>
      <c r="D2108" s="9" t="s">
        <v>17</v>
      </c>
      <c r="E2108" s="9" t="s">
        <v>17</v>
      </c>
    </row>
    <row r="2109" spans="1:5" ht="18.75">
      <c r="A2109" s="10">
        <v>365</v>
      </c>
      <c r="B2109" s="11"/>
      <c r="C2109" s="12" t="s">
        <v>143</v>
      </c>
      <c r="D2109" s="13">
        <v>46500</v>
      </c>
      <c r="E2109" s="14">
        <f t="shared" ref="E2109:E2114" si="122">IF(D2109="-","-",A2109*D2109)</f>
        <v>16972500</v>
      </c>
    </row>
    <row r="2110" spans="1:5" ht="18.75">
      <c r="A2110" s="10"/>
      <c r="B2110" s="11"/>
      <c r="C2110" s="12"/>
      <c r="D2110" s="15" t="str">
        <f>IFERROR(INDEX(barang,MATCH(C2110,nmbarang,0),2),"-")</f>
        <v>-</v>
      </c>
      <c r="E2110" s="14" t="str">
        <f t="shared" si="122"/>
        <v>-</v>
      </c>
    </row>
    <row r="2111" spans="1:5" ht="18.75">
      <c r="A2111" s="10"/>
      <c r="B2111" s="11"/>
      <c r="C2111" s="12"/>
      <c r="D2111" s="15" t="str">
        <f>IFERROR(INDEX(barang,MATCH(C2111,nmbarang,0),2),"-")</f>
        <v>-</v>
      </c>
      <c r="E2111" s="14" t="str">
        <f t="shared" si="122"/>
        <v>-</v>
      </c>
    </row>
    <row r="2112" spans="1:5" ht="18.75">
      <c r="A2112" s="10"/>
      <c r="B2112" s="11"/>
      <c r="C2112" s="12"/>
      <c r="D2112" s="15" t="str">
        <f>IFERROR(INDEX(barang,MATCH(C2112,nmbarang,0),2),"-")</f>
        <v>-</v>
      </c>
      <c r="E2112" s="14" t="str">
        <f t="shared" si="122"/>
        <v>-</v>
      </c>
    </row>
    <row r="2113" spans="1:5" ht="18.75">
      <c r="A2113" s="10"/>
      <c r="B2113" s="11"/>
      <c r="C2113" s="12"/>
      <c r="D2113" s="15" t="str">
        <f>IFERROR(INDEX(barang,MATCH(C2113,nmbarang,0),2),"-")</f>
        <v>-</v>
      </c>
      <c r="E2113" s="14" t="str">
        <f t="shared" si="122"/>
        <v>-</v>
      </c>
    </row>
    <row r="2114" spans="1:5" ht="18.75">
      <c r="A2114" s="10"/>
      <c r="B2114" s="11"/>
      <c r="C2114" s="12"/>
      <c r="D2114" s="15" t="str">
        <f>IFERROR(INDEX(barang,MATCH(C2114,nmbarang,0),2),"-")</f>
        <v>-</v>
      </c>
      <c r="E2114" s="14" t="str">
        <f t="shared" si="122"/>
        <v>-</v>
      </c>
    </row>
    <row r="2115" spans="1:5" ht="18.75">
      <c r="A2115" s="16"/>
      <c r="B2115" s="17"/>
      <c r="C2115" s="18"/>
      <c r="D2115" s="19" t="s">
        <v>144</v>
      </c>
      <c r="E2115" s="19"/>
    </row>
    <row r="2116" spans="1:5" ht="18.75">
      <c r="A2116" s="639"/>
      <c r="B2116" s="639"/>
      <c r="C2116" s="639"/>
      <c r="D2116" s="639"/>
      <c r="E2116" s="20">
        <f>SUM(E2109:E2115)</f>
        <v>16972500</v>
      </c>
    </row>
    <row r="2117" spans="1:5" ht="18.75">
      <c r="B2117" s="21"/>
      <c r="C2117" s="4" t="s">
        <v>144</v>
      </c>
      <c r="D2117" s="640"/>
      <c r="E2117" s="641"/>
    </row>
    <row r="2118" spans="1:5" ht="18.75">
      <c r="A2118" s="21" t="s">
        <v>145</v>
      </c>
      <c r="B2118" s="4"/>
      <c r="C2118" s="4"/>
      <c r="D2118" s="4" t="s">
        <v>146</v>
      </c>
    </row>
    <row r="2119" spans="1:5" ht="18.75">
      <c r="A2119" s="4"/>
      <c r="B2119" s="4"/>
      <c r="C2119" s="4"/>
      <c r="D2119" s="4"/>
      <c r="E2119" s="22"/>
    </row>
    <row r="2120" spans="1:5" ht="18.75">
      <c r="A2120" s="4" t="s">
        <v>26</v>
      </c>
      <c r="B2120" s="4"/>
      <c r="C2120" s="4"/>
      <c r="D2120" s="23" t="s">
        <v>147</v>
      </c>
      <c r="E2120" s="24"/>
    </row>
    <row r="2122" spans="1:5" ht="31.5">
      <c r="A2122" s="1" t="s">
        <v>139</v>
      </c>
      <c r="B2122" s="2"/>
      <c r="E2122" s="3">
        <v>44907</v>
      </c>
    </row>
    <row r="2123" spans="1:5" ht="18.75">
      <c r="A2123" s="4" t="s">
        <v>140</v>
      </c>
      <c r="B2123" s="4"/>
      <c r="C2123" s="4" t="s">
        <v>2</v>
      </c>
      <c r="D2123" s="4"/>
      <c r="E2123" s="5" t="s">
        <v>141</v>
      </c>
    </row>
    <row r="2124" spans="1:5" ht="18.75">
      <c r="A2124" s="4" t="s">
        <v>8</v>
      </c>
      <c r="B2124" s="4"/>
      <c r="C2124" s="6" t="s">
        <v>9</v>
      </c>
      <c r="D2124" s="4"/>
      <c r="E2124" s="4" t="s">
        <v>142</v>
      </c>
    </row>
    <row r="2125" spans="1:5" ht="18.75">
      <c r="A2125" s="4"/>
      <c r="B2125" s="4"/>
      <c r="C2125" s="6"/>
      <c r="D2125" s="4"/>
      <c r="E2125" s="4"/>
    </row>
    <row r="2126" spans="1:5" ht="18.75">
      <c r="A2126" s="4"/>
      <c r="B2126" s="4"/>
      <c r="C2126" s="6"/>
      <c r="D2126" s="4"/>
      <c r="E2126" s="4"/>
    </row>
    <row r="2127" spans="1:5" ht="18.75">
      <c r="A2127" s="7" t="s">
        <v>15</v>
      </c>
      <c r="B2127" s="8"/>
      <c r="C2127" s="8" t="s">
        <v>16</v>
      </c>
      <c r="D2127" s="9" t="s">
        <v>17</v>
      </c>
      <c r="E2127" s="9" t="s">
        <v>17</v>
      </c>
    </row>
    <row r="2128" spans="1:5" ht="18.75">
      <c r="A2128" s="10">
        <v>335</v>
      </c>
      <c r="B2128" s="11"/>
      <c r="C2128" s="12" t="s">
        <v>143</v>
      </c>
      <c r="D2128" s="13">
        <v>46500</v>
      </c>
      <c r="E2128" s="14">
        <f t="shared" ref="E2128:E2133" si="123">IF(D2128="-","-",A2128*D2128)</f>
        <v>15577500</v>
      </c>
    </row>
    <row r="2129" spans="1:5" ht="18.75">
      <c r="A2129" s="10"/>
      <c r="B2129" s="11"/>
      <c r="C2129" s="12"/>
      <c r="D2129" s="15" t="str">
        <f>IFERROR(INDEX(barang,MATCH(C2129,nmbarang,0),2),"-")</f>
        <v>-</v>
      </c>
      <c r="E2129" s="14" t="str">
        <f t="shared" si="123"/>
        <v>-</v>
      </c>
    </row>
    <row r="2130" spans="1:5" ht="18.75">
      <c r="A2130" s="10"/>
      <c r="B2130" s="11"/>
      <c r="C2130" s="12"/>
      <c r="D2130" s="15" t="str">
        <f>IFERROR(INDEX(barang,MATCH(C2130,nmbarang,0),2),"-")</f>
        <v>-</v>
      </c>
      <c r="E2130" s="14" t="str">
        <f t="shared" si="123"/>
        <v>-</v>
      </c>
    </row>
    <row r="2131" spans="1:5" ht="18.75">
      <c r="A2131" s="10"/>
      <c r="B2131" s="11"/>
      <c r="C2131" s="12"/>
      <c r="D2131" s="15" t="str">
        <f>IFERROR(INDEX(barang,MATCH(C2131,nmbarang,0),2),"-")</f>
        <v>-</v>
      </c>
      <c r="E2131" s="14" t="str">
        <f t="shared" si="123"/>
        <v>-</v>
      </c>
    </row>
    <row r="2132" spans="1:5" ht="18.75">
      <c r="A2132" s="10"/>
      <c r="B2132" s="11"/>
      <c r="C2132" s="12"/>
      <c r="D2132" s="15" t="str">
        <f>IFERROR(INDEX(barang,MATCH(C2132,nmbarang,0),2),"-")</f>
        <v>-</v>
      </c>
      <c r="E2132" s="14" t="str">
        <f t="shared" si="123"/>
        <v>-</v>
      </c>
    </row>
    <row r="2133" spans="1:5" ht="18.75">
      <c r="A2133" s="10"/>
      <c r="B2133" s="11"/>
      <c r="C2133" s="12"/>
      <c r="D2133" s="15" t="str">
        <f>IFERROR(INDEX(barang,MATCH(C2133,nmbarang,0),2),"-")</f>
        <v>-</v>
      </c>
      <c r="E2133" s="14" t="str">
        <f t="shared" si="123"/>
        <v>-</v>
      </c>
    </row>
    <row r="2134" spans="1:5" ht="18.75">
      <c r="A2134" s="16"/>
      <c r="B2134" s="17"/>
      <c r="C2134" s="18"/>
      <c r="D2134" s="19" t="s">
        <v>144</v>
      </c>
      <c r="E2134" s="19"/>
    </row>
    <row r="2135" spans="1:5" ht="18.75">
      <c r="A2135" s="639"/>
      <c r="B2135" s="639"/>
      <c r="C2135" s="639"/>
      <c r="D2135" s="639"/>
      <c r="E2135" s="20">
        <f>SUM(E2128:E2134)</f>
        <v>15577500</v>
      </c>
    </row>
    <row r="2136" spans="1:5" ht="18.75">
      <c r="B2136" s="21"/>
      <c r="C2136" s="4" t="s">
        <v>144</v>
      </c>
      <c r="D2136" s="640"/>
      <c r="E2136" s="641"/>
    </row>
    <row r="2137" spans="1:5" ht="18.75">
      <c r="A2137" s="21" t="s">
        <v>145</v>
      </c>
      <c r="B2137" s="4"/>
      <c r="C2137" s="4"/>
      <c r="D2137" s="4" t="s">
        <v>146</v>
      </c>
    </row>
    <row r="2138" spans="1:5" ht="18.75">
      <c r="A2138" s="4"/>
      <c r="B2138" s="4"/>
      <c r="C2138" s="4"/>
      <c r="D2138" s="4"/>
      <c r="E2138" s="22"/>
    </row>
    <row r="2139" spans="1:5" ht="18.75">
      <c r="A2139" s="4" t="s">
        <v>26</v>
      </c>
      <c r="B2139" s="4"/>
      <c r="C2139" s="4"/>
      <c r="D2139" s="23" t="s">
        <v>147</v>
      </c>
      <c r="E2139" s="24"/>
    </row>
    <row r="2141" spans="1:5" ht="31.5">
      <c r="A2141" s="1" t="s">
        <v>139</v>
      </c>
      <c r="B2141" s="2"/>
      <c r="E2141" s="3">
        <v>44907</v>
      </c>
    </row>
    <row r="2142" spans="1:5" ht="18.75">
      <c r="A2142" s="4" t="s">
        <v>140</v>
      </c>
      <c r="B2142" s="4"/>
      <c r="C2142" s="4" t="s">
        <v>2</v>
      </c>
      <c r="D2142" s="4"/>
      <c r="E2142" s="5" t="s">
        <v>141</v>
      </c>
    </row>
    <row r="2143" spans="1:5" ht="18.75">
      <c r="A2143" s="4" t="s">
        <v>8</v>
      </c>
      <c r="B2143" s="4"/>
      <c r="C2143" s="6" t="s">
        <v>9</v>
      </c>
      <c r="D2143" s="4"/>
      <c r="E2143" s="4" t="s">
        <v>142</v>
      </c>
    </row>
    <row r="2144" spans="1:5" ht="18.75">
      <c r="A2144" s="4"/>
      <c r="B2144" s="4"/>
      <c r="C2144" s="6"/>
      <c r="D2144" s="4"/>
      <c r="E2144" s="4"/>
    </row>
    <row r="2145" spans="1:5" ht="18.75">
      <c r="A2145" s="4"/>
      <c r="B2145" s="4"/>
      <c r="C2145" s="6"/>
      <c r="D2145" s="4"/>
      <c r="E2145" s="4"/>
    </row>
    <row r="2146" spans="1:5" ht="18.75">
      <c r="A2146" s="7" t="s">
        <v>15</v>
      </c>
      <c r="B2146" s="8"/>
      <c r="C2146" s="8" t="s">
        <v>16</v>
      </c>
      <c r="D2146" s="9" t="s">
        <v>17</v>
      </c>
      <c r="E2146" s="9" t="s">
        <v>17</v>
      </c>
    </row>
    <row r="2147" spans="1:5" ht="18.75">
      <c r="A2147" s="10">
        <v>317</v>
      </c>
      <c r="B2147" s="11"/>
      <c r="C2147" s="12" t="s">
        <v>143</v>
      </c>
      <c r="D2147" s="13">
        <v>46500</v>
      </c>
      <c r="E2147" s="14">
        <f t="shared" ref="E2147:E2152" si="124">IF(D2147="-","-",A2147*D2147)</f>
        <v>14740500</v>
      </c>
    </row>
    <row r="2148" spans="1:5" ht="18.75">
      <c r="A2148" s="10"/>
      <c r="B2148" s="11"/>
      <c r="C2148" s="12"/>
      <c r="D2148" s="15" t="str">
        <f>IFERROR(INDEX(barang,MATCH(C2148,nmbarang,0),2),"-")</f>
        <v>-</v>
      </c>
      <c r="E2148" s="14" t="str">
        <f t="shared" si="124"/>
        <v>-</v>
      </c>
    </row>
    <row r="2149" spans="1:5" ht="18.75">
      <c r="A2149" s="10"/>
      <c r="B2149" s="11"/>
      <c r="C2149" s="12"/>
      <c r="D2149" s="15" t="str">
        <f>IFERROR(INDEX(barang,MATCH(C2149,nmbarang,0),2),"-")</f>
        <v>-</v>
      </c>
      <c r="E2149" s="14" t="str">
        <f t="shared" si="124"/>
        <v>-</v>
      </c>
    </row>
    <row r="2150" spans="1:5" ht="18.75">
      <c r="A2150" s="10"/>
      <c r="B2150" s="11"/>
      <c r="C2150" s="12"/>
      <c r="D2150" s="15" t="str">
        <f>IFERROR(INDEX(barang,MATCH(C2150,nmbarang,0),2),"-")</f>
        <v>-</v>
      </c>
      <c r="E2150" s="14" t="str">
        <f t="shared" si="124"/>
        <v>-</v>
      </c>
    </row>
    <row r="2151" spans="1:5" ht="18.75">
      <c r="A2151" s="10"/>
      <c r="B2151" s="11"/>
      <c r="C2151" s="12"/>
      <c r="D2151" s="15" t="str">
        <f>IFERROR(INDEX(barang,MATCH(C2151,nmbarang,0),2),"-")</f>
        <v>-</v>
      </c>
      <c r="E2151" s="14" t="str">
        <f t="shared" si="124"/>
        <v>-</v>
      </c>
    </row>
    <row r="2152" spans="1:5" ht="18.75">
      <c r="A2152" s="10"/>
      <c r="B2152" s="11"/>
      <c r="C2152" s="12"/>
      <c r="D2152" s="15" t="str">
        <f>IFERROR(INDEX(barang,MATCH(C2152,nmbarang,0),2),"-")</f>
        <v>-</v>
      </c>
      <c r="E2152" s="14" t="str">
        <f t="shared" si="124"/>
        <v>-</v>
      </c>
    </row>
    <row r="2153" spans="1:5" ht="18.75">
      <c r="A2153" s="16"/>
      <c r="B2153" s="17"/>
      <c r="C2153" s="18"/>
      <c r="D2153" s="19" t="s">
        <v>144</v>
      </c>
      <c r="E2153" s="19"/>
    </row>
    <row r="2154" spans="1:5" ht="18.75">
      <c r="A2154" s="639"/>
      <c r="B2154" s="639"/>
      <c r="C2154" s="639"/>
      <c r="D2154" s="639"/>
      <c r="E2154" s="20">
        <f>SUM(E2147:E2153)</f>
        <v>14740500</v>
      </c>
    </row>
    <row r="2155" spans="1:5" ht="18.75">
      <c r="B2155" s="21"/>
      <c r="C2155" s="4" t="s">
        <v>144</v>
      </c>
      <c r="D2155" s="640"/>
      <c r="E2155" s="641"/>
    </row>
    <row r="2156" spans="1:5" ht="18.75">
      <c r="A2156" s="21" t="s">
        <v>145</v>
      </c>
      <c r="B2156" s="4"/>
      <c r="C2156" s="4"/>
      <c r="D2156" s="4" t="s">
        <v>146</v>
      </c>
    </row>
    <row r="2157" spans="1:5" ht="18.75">
      <c r="A2157" s="4"/>
      <c r="B2157" s="4"/>
      <c r="C2157" s="4"/>
      <c r="D2157" s="4"/>
      <c r="E2157" s="22"/>
    </row>
    <row r="2158" spans="1:5" ht="18.75">
      <c r="A2158" s="4" t="s">
        <v>26</v>
      </c>
      <c r="B2158" s="4"/>
      <c r="C2158" s="4"/>
      <c r="D2158" s="23" t="s">
        <v>147</v>
      </c>
      <c r="E2158" s="24"/>
    </row>
  </sheetData>
  <mergeCells count="190">
    <mergeCell ref="D2155:E2155"/>
    <mergeCell ref="A2078:D2078"/>
    <mergeCell ref="D2079:E2079"/>
    <mergeCell ref="A2097:D2097"/>
    <mergeCell ref="D2098:E2098"/>
    <mergeCell ref="A2116:D2116"/>
    <mergeCell ref="D2117:E2117"/>
    <mergeCell ref="A2135:D2135"/>
    <mergeCell ref="D2136:E2136"/>
    <mergeCell ref="A2154:D2154"/>
    <mergeCell ref="H1976:I1976"/>
    <mergeCell ref="A1998:H1998"/>
    <mergeCell ref="H1999:I1999"/>
    <mergeCell ref="A2021:H2021"/>
    <mergeCell ref="H2022:I2022"/>
    <mergeCell ref="A2040:D2040"/>
    <mergeCell ref="D2041:E2041"/>
    <mergeCell ref="A2059:D2059"/>
    <mergeCell ref="D2060:E2060"/>
    <mergeCell ref="A1883:H1883"/>
    <mergeCell ref="H1884:I1884"/>
    <mergeCell ref="A1906:H1906"/>
    <mergeCell ref="H1907:I1907"/>
    <mergeCell ref="A1929:H1929"/>
    <mergeCell ref="H1930:I1930"/>
    <mergeCell ref="A1952:H1952"/>
    <mergeCell ref="H1953:I1953"/>
    <mergeCell ref="A1975:H1975"/>
    <mergeCell ref="H1769:I1769"/>
    <mergeCell ref="A1791:H1791"/>
    <mergeCell ref="H1792:I1792"/>
    <mergeCell ref="A1814:H1814"/>
    <mergeCell ref="H1815:I1815"/>
    <mergeCell ref="A1837:H1837"/>
    <mergeCell ref="H1838:I1838"/>
    <mergeCell ref="A1860:H1860"/>
    <mergeCell ref="H1861:I1861"/>
    <mergeCell ref="A1676:H1676"/>
    <mergeCell ref="H1677:I1677"/>
    <mergeCell ref="A1699:H1699"/>
    <mergeCell ref="H1700:I1700"/>
    <mergeCell ref="A1722:H1722"/>
    <mergeCell ref="H1723:I1723"/>
    <mergeCell ref="A1745:H1745"/>
    <mergeCell ref="H1746:I1746"/>
    <mergeCell ref="A1768:H1768"/>
    <mergeCell ref="H1562:I1562"/>
    <mergeCell ref="A1584:H1584"/>
    <mergeCell ref="H1585:I1585"/>
    <mergeCell ref="A1607:H1607"/>
    <mergeCell ref="H1608:I1608"/>
    <mergeCell ref="A1630:H1630"/>
    <mergeCell ref="H1631:I1631"/>
    <mergeCell ref="A1653:H1653"/>
    <mergeCell ref="H1654:I1654"/>
    <mergeCell ref="A1469:H1469"/>
    <mergeCell ref="H1470:I1470"/>
    <mergeCell ref="A1492:H1492"/>
    <mergeCell ref="H1493:I1493"/>
    <mergeCell ref="A1515:H1515"/>
    <mergeCell ref="H1516:I1516"/>
    <mergeCell ref="A1538:H1538"/>
    <mergeCell ref="H1539:I1539"/>
    <mergeCell ref="A1561:H1561"/>
    <mergeCell ref="H1355:I1355"/>
    <mergeCell ref="A1377:H1377"/>
    <mergeCell ref="H1378:I1378"/>
    <mergeCell ref="A1400:H1400"/>
    <mergeCell ref="H1401:I1401"/>
    <mergeCell ref="A1423:H1423"/>
    <mergeCell ref="H1424:I1424"/>
    <mergeCell ref="A1446:H1446"/>
    <mergeCell ref="H1447:I1447"/>
    <mergeCell ref="A1262:H1262"/>
    <mergeCell ref="H1263:I1263"/>
    <mergeCell ref="A1285:H1285"/>
    <mergeCell ref="H1286:I1286"/>
    <mergeCell ref="A1308:H1308"/>
    <mergeCell ref="H1309:I1309"/>
    <mergeCell ref="A1331:H1331"/>
    <mergeCell ref="H1332:I1332"/>
    <mergeCell ref="A1354:H1354"/>
    <mergeCell ref="H1147:I1147"/>
    <mergeCell ref="A1169:H1169"/>
    <mergeCell ref="H1170:I1170"/>
    <mergeCell ref="A1192:H1192"/>
    <mergeCell ref="H1193:I1193"/>
    <mergeCell ref="A1215:H1215"/>
    <mergeCell ref="H1216:I1216"/>
    <mergeCell ref="A1239:H1239"/>
    <mergeCell ref="H1240:I1240"/>
    <mergeCell ref="A1054:H1054"/>
    <mergeCell ref="H1055:I1055"/>
    <mergeCell ref="A1077:H1077"/>
    <mergeCell ref="H1078:I1078"/>
    <mergeCell ref="A1100:H1100"/>
    <mergeCell ref="H1101:I1101"/>
    <mergeCell ref="A1123:H1123"/>
    <mergeCell ref="H1124:I1124"/>
    <mergeCell ref="A1146:H1146"/>
    <mergeCell ref="H940:I940"/>
    <mergeCell ref="A962:H962"/>
    <mergeCell ref="H963:I963"/>
    <mergeCell ref="A985:H985"/>
    <mergeCell ref="H986:I986"/>
    <mergeCell ref="A1008:H1008"/>
    <mergeCell ref="H1009:I1009"/>
    <mergeCell ref="A1031:H1031"/>
    <mergeCell ref="H1032:I1032"/>
    <mergeCell ref="A846:H846"/>
    <mergeCell ref="H847:I847"/>
    <mergeCell ref="A870:H870"/>
    <mergeCell ref="H871:I871"/>
    <mergeCell ref="A893:H893"/>
    <mergeCell ref="H894:I894"/>
    <mergeCell ref="A916:H916"/>
    <mergeCell ref="H917:I917"/>
    <mergeCell ref="A939:H939"/>
    <mergeCell ref="H734:I734"/>
    <mergeCell ref="A756:H756"/>
    <mergeCell ref="H757:I757"/>
    <mergeCell ref="A778:H778"/>
    <mergeCell ref="H779:I779"/>
    <mergeCell ref="A801:H801"/>
    <mergeCell ref="H802:I802"/>
    <mergeCell ref="A823:H823"/>
    <mergeCell ref="H824:I824"/>
    <mergeCell ref="A644:D644"/>
    <mergeCell ref="D645:E645"/>
    <mergeCell ref="A667:H667"/>
    <mergeCell ref="H668:I668"/>
    <mergeCell ref="A689:H689"/>
    <mergeCell ref="H690:I690"/>
    <mergeCell ref="A712:H712"/>
    <mergeCell ref="H713:I713"/>
    <mergeCell ref="A733:H733"/>
    <mergeCell ref="H529:I529"/>
    <mergeCell ref="A551:H551"/>
    <mergeCell ref="H552:I552"/>
    <mergeCell ref="A574:H574"/>
    <mergeCell ref="H575:I575"/>
    <mergeCell ref="A597:H597"/>
    <mergeCell ref="H598:I598"/>
    <mergeCell ref="A621:H621"/>
    <mergeCell ref="H622:I622"/>
    <mergeCell ref="A437:H437"/>
    <mergeCell ref="H438:I438"/>
    <mergeCell ref="A457:H457"/>
    <mergeCell ref="H458:I458"/>
    <mergeCell ref="A481:H481"/>
    <mergeCell ref="H482:I482"/>
    <mergeCell ref="A504:D504"/>
    <mergeCell ref="D505:E505"/>
    <mergeCell ref="A528:H528"/>
    <mergeCell ref="D323:E323"/>
    <mergeCell ref="A345:D345"/>
    <mergeCell ref="D346:E346"/>
    <mergeCell ref="A368:D368"/>
    <mergeCell ref="D369:E369"/>
    <mergeCell ref="A391:D391"/>
    <mergeCell ref="D392:E392"/>
    <mergeCell ref="A414:D414"/>
    <mergeCell ref="D415:E415"/>
    <mergeCell ref="A228:D228"/>
    <mergeCell ref="D229:E229"/>
    <mergeCell ref="A252:D252"/>
    <mergeCell ref="D253:E253"/>
    <mergeCell ref="A276:D276"/>
    <mergeCell ref="D277:E277"/>
    <mergeCell ref="A299:D299"/>
    <mergeCell ref="D300:E300"/>
    <mergeCell ref="A322:D322"/>
    <mergeCell ref="D112:E112"/>
    <mergeCell ref="A134:D134"/>
    <mergeCell ref="D135:E135"/>
    <mergeCell ref="A157:D157"/>
    <mergeCell ref="D158:E158"/>
    <mergeCell ref="A181:D181"/>
    <mergeCell ref="D182:E182"/>
    <mergeCell ref="A205:D205"/>
    <mergeCell ref="D206:E206"/>
    <mergeCell ref="A19:D19"/>
    <mergeCell ref="D20:E20"/>
    <mergeCell ref="A42:D42"/>
    <mergeCell ref="D43:E43"/>
    <mergeCell ref="A65:D65"/>
    <mergeCell ref="D66:E66"/>
    <mergeCell ref="A88:D88"/>
    <mergeCell ref="D89:E89"/>
    <mergeCell ref="A111:D111"/>
  </mergeCells>
  <dataValidations count="1">
    <dataValidation type="list" allowBlank="1" showInputMessage="1" showErrorMessage="1" sqref="C2033:C2038 C2052:C2057 C2071:C2076 C2090:C2095 C2109:C2114 C2128:C2133 C2147:C2152">
      <formula1>nmbarang</formula1>
    </dataValidation>
  </dataValidations>
  <hyperlinks>
    <hyperlink ref="C5" r:id="rId1"/>
    <hyperlink ref="C28" r:id="rId2"/>
    <hyperlink ref="C51" r:id="rId3"/>
    <hyperlink ref="C74" r:id="rId4"/>
    <hyperlink ref="C97" r:id="rId5"/>
    <hyperlink ref="C120" r:id="rId6"/>
    <hyperlink ref="C143" r:id="rId7"/>
    <hyperlink ref="C167" r:id="rId8"/>
    <hyperlink ref="C191" r:id="rId9"/>
    <hyperlink ref="C214" r:id="rId10"/>
    <hyperlink ref="C238" r:id="rId11"/>
    <hyperlink ref="C262" r:id="rId12"/>
    <hyperlink ref="C285" r:id="rId13"/>
    <hyperlink ref="C308" r:id="rId14"/>
    <hyperlink ref="C331" r:id="rId15"/>
    <hyperlink ref="C354" r:id="rId16"/>
    <hyperlink ref="C377" r:id="rId17"/>
    <hyperlink ref="C400" r:id="rId18"/>
    <hyperlink ref="C423" r:id="rId19"/>
    <hyperlink ref="C443" r:id="rId20"/>
    <hyperlink ref="C467" r:id="rId21"/>
    <hyperlink ref="C490" r:id="rId22"/>
    <hyperlink ref="C514" r:id="rId23"/>
    <hyperlink ref="C537" r:id="rId24"/>
    <hyperlink ref="C560" r:id="rId25"/>
    <hyperlink ref="C583" r:id="rId26"/>
    <hyperlink ref="C607" r:id="rId27"/>
    <hyperlink ref="C630" r:id="rId28"/>
    <hyperlink ref="C653" r:id="rId29"/>
    <hyperlink ref="C675" r:id="rId30"/>
    <hyperlink ref="C698" r:id="rId31"/>
    <hyperlink ref="C719" r:id="rId32"/>
    <hyperlink ref="C742" r:id="rId33"/>
    <hyperlink ref="C764" r:id="rId34"/>
    <hyperlink ref="C787" r:id="rId35"/>
    <hyperlink ref="C809" r:id="rId36"/>
    <hyperlink ref="C832" r:id="rId37"/>
    <hyperlink ref="C856" r:id="rId38"/>
    <hyperlink ref="C879" r:id="rId39"/>
    <hyperlink ref="C902" r:id="rId40"/>
    <hyperlink ref="C925" r:id="rId41"/>
    <hyperlink ref="C948" r:id="rId42"/>
    <hyperlink ref="C971" r:id="rId43"/>
    <hyperlink ref="C994" r:id="rId44"/>
    <hyperlink ref="C1017" r:id="rId45"/>
    <hyperlink ref="C1040" r:id="rId46"/>
    <hyperlink ref="C1063" r:id="rId47"/>
    <hyperlink ref="C1086" r:id="rId48"/>
    <hyperlink ref="C1109" r:id="rId49"/>
    <hyperlink ref="C1132" r:id="rId50"/>
    <hyperlink ref="C1155" r:id="rId51"/>
    <hyperlink ref="C1178" r:id="rId52"/>
    <hyperlink ref="C1201" r:id="rId53"/>
    <hyperlink ref="C1225" r:id="rId54"/>
    <hyperlink ref="C1248" r:id="rId55"/>
    <hyperlink ref="C1271" r:id="rId56"/>
    <hyperlink ref="C1294" r:id="rId57"/>
    <hyperlink ref="C1317" r:id="rId58"/>
    <hyperlink ref="C1340" r:id="rId59"/>
    <hyperlink ref="C1363" r:id="rId60"/>
    <hyperlink ref="C1386" r:id="rId61"/>
    <hyperlink ref="C1409" r:id="rId62"/>
    <hyperlink ref="C1432" r:id="rId63"/>
    <hyperlink ref="C1455" r:id="rId64"/>
    <hyperlink ref="C1478" r:id="rId65"/>
    <hyperlink ref="C1501" r:id="rId66"/>
    <hyperlink ref="C1524" r:id="rId67"/>
    <hyperlink ref="C1547" r:id="rId68"/>
    <hyperlink ref="C1570" r:id="rId69"/>
    <hyperlink ref="C1593" r:id="rId70"/>
    <hyperlink ref="C1616" r:id="rId71"/>
    <hyperlink ref="C1639" r:id="rId72"/>
    <hyperlink ref="C1662" r:id="rId73"/>
    <hyperlink ref="C1685" r:id="rId74"/>
    <hyperlink ref="C1708" r:id="rId75"/>
    <hyperlink ref="C1731" r:id="rId76"/>
    <hyperlink ref="C1754" r:id="rId77"/>
    <hyperlink ref="C1777" r:id="rId78"/>
    <hyperlink ref="C1800" r:id="rId79"/>
    <hyperlink ref="C1823" r:id="rId80"/>
    <hyperlink ref="C1846" r:id="rId81"/>
    <hyperlink ref="C1869" r:id="rId82"/>
    <hyperlink ref="C1892" r:id="rId83"/>
    <hyperlink ref="C1915" r:id="rId84"/>
    <hyperlink ref="C1938" r:id="rId85"/>
    <hyperlink ref="C1961" r:id="rId86"/>
    <hyperlink ref="C1984" r:id="rId87"/>
    <hyperlink ref="C2007" r:id="rId88"/>
    <hyperlink ref="C2029" r:id="rId89"/>
    <hyperlink ref="C2048" r:id="rId90"/>
    <hyperlink ref="C2067" r:id="rId91"/>
    <hyperlink ref="C2086" r:id="rId92"/>
    <hyperlink ref="C2105" r:id="rId93"/>
    <hyperlink ref="C2124" r:id="rId94"/>
    <hyperlink ref="C2143" r:id="rId95"/>
  </hyperlinks>
  <pageMargins left="0.7" right="0.7" top="0.75" bottom="0.75" header="0.3" footer="0.3"/>
  <pageSetup paperSize="126" orientation="portrait" horizontalDpi="120" verticalDpi="72" r:id="rId96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topLeftCell="A3" workbookViewId="0">
      <selection activeCell="B25" sqref="B25"/>
    </sheetView>
  </sheetViews>
  <sheetFormatPr defaultColWidth="0" defaultRowHeight="15" zeroHeight="1"/>
  <cols>
    <col min="1" max="1" width="11.5703125" customWidth="1"/>
    <col min="2" max="2" width="2.85546875" customWidth="1"/>
    <col min="3" max="3" width="43.42578125" customWidth="1"/>
    <col min="4" max="4" width="14" customWidth="1"/>
    <col min="5" max="5" width="19.85546875" customWidth="1"/>
    <col min="6" max="6" width="0" hidden="1" customWidth="1"/>
    <col min="7" max="16384" width="19.85546875" hidden="1"/>
  </cols>
  <sheetData>
    <row r="1" spans="1:5" ht="27">
      <c r="A1" s="2" t="s">
        <v>149</v>
      </c>
      <c r="B1" s="2"/>
    </row>
    <row r="2" spans="1:5">
      <c r="A2" t="s">
        <v>1</v>
      </c>
      <c r="C2" t="s">
        <v>2</v>
      </c>
      <c r="D2" t="s">
        <v>3</v>
      </c>
      <c r="E2" s="85">
        <v>44336</v>
      </c>
    </row>
    <row r="3" spans="1:5">
      <c r="C3" t="s">
        <v>4</v>
      </c>
      <c r="D3" t="s">
        <v>5</v>
      </c>
      <c r="E3" t="s">
        <v>150</v>
      </c>
    </row>
    <row r="4" spans="1:5">
      <c r="C4" t="s">
        <v>7</v>
      </c>
      <c r="D4" s="86"/>
      <c r="E4" s="86" t="s">
        <v>49</v>
      </c>
    </row>
    <row r="5" spans="1:5">
      <c r="A5" t="s">
        <v>8</v>
      </c>
      <c r="C5" s="87" t="s">
        <v>9</v>
      </c>
      <c r="D5" t="s">
        <v>10</v>
      </c>
      <c r="E5" s="114" t="s">
        <v>11</v>
      </c>
    </row>
    <row r="6" spans="1:5">
      <c r="A6" t="s">
        <v>12</v>
      </c>
      <c r="C6" t="s">
        <v>13</v>
      </c>
      <c r="D6" t="s">
        <v>14</v>
      </c>
      <c r="E6" t="s">
        <v>11</v>
      </c>
    </row>
    <row r="7" spans="1:5">
      <c r="A7" s="88" t="s">
        <v>15</v>
      </c>
      <c r="B7" s="89"/>
      <c r="C7" s="634" t="s">
        <v>16</v>
      </c>
      <c r="D7" s="634"/>
      <c r="E7" s="636"/>
    </row>
    <row r="8" spans="1:5">
      <c r="A8" s="90">
        <v>5</v>
      </c>
      <c r="B8" s="91" t="s">
        <v>62</v>
      </c>
      <c r="C8" s="89" t="s">
        <v>89</v>
      </c>
      <c r="D8" s="89"/>
      <c r="E8" s="88"/>
    </row>
    <row r="9" spans="1:5">
      <c r="A9" s="90">
        <v>11</v>
      </c>
      <c r="B9" s="91"/>
      <c r="C9" s="89" t="s">
        <v>151</v>
      </c>
      <c r="D9" s="89"/>
      <c r="E9" s="88"/>
    </row>
    <row r="10" spans="1:5">
      <c r="A10" s="90"/>
      <c r="B10" s="91"/>
      <c r="C10" s="642"/>
      <c r="D10" s="642"/>
      <c r="E10" s="643"/>
    </row>
    <row r="11" spans="1:5">
      <c r="A11" s="90"/>
      <c r="B11" s="91"/>
      <c r="C11" s="642"/>
      <c r="D11" s="642"/>
      <c r="E11" s="643"/>
    </row>
    <row r="12" spans="1:5">
      <c r="A12" s="90"/>
      <c r="B12" s="91"/>
      <c r="C12" s="642"/>
      <c r="D12" s="642"/>
      <c r="E12" s="643"/>
    </row>
    <row r="13" spans="1:5">
      <c r="A13" s="90"/>
      <c r="B13" s="91"/>
      <c r="C13" s="642"/>
      <c r="D13" s="642"/>
      <c r="E13" s="643"/>
    </row>
    <row r="14" spans="1:5">
      <c r="A14" s="90"/>
      <c r="B14" s="91"/>
      <c r="C14" s="642"/>
      <c r="D14" s="642"/>
      <c r="E14" s="643"/>
    </row>
    <row r="15" spans="1:5">
      <c r="A15" s="90"/>
      <c r="B15" s="91"/>
      <c r="C15" s="642"/>
      <c r="D15" s="642"/>
      <c r="E15" s="643"/>
    </row>
    <row r="16" spans="1:5">
      <c r="A16" s="92"/>
      <c r="B16" s="93"/>
      <c r="C16" s="642"/>
      <c r="D16" s="642"/>
      <c r="E16" s="643"/>
    </row>
    <row r="17" spans="1:5">
      <c r="A17" s="90"/>
      <c r="B17" s="91"/>
      <c r="C17" s="642"/>
      <c r="D17" s="642"/>
      <c r="E17" s="643"/>
    </row>
    <row r="18" spans="1:5">
      <c r="A18" s="90"/>
      <c r="B18" s="91"/>
      <c r="C18" s="642"/>
      <c r="D18" s="642"/>
      <c r="E18" s="643"/>
    </row>
    <row r="19" spans="1:5">
      <c r="A19" s="90">
        <f>SUM(A8:A18)</f>
        <v>16</v>
      </c>
      <c r="B19" s="91"/>
      <c r="C19" s="642"/>
      <c r="D19" s="642"/>
      <c r="E19" s="643"/>
    </row>
    <row r="20" spans="1:5">
      <c r="A20" s="28" t="s">
        <v>24</v>
      </c>
      <c r="B20" s="28"/>
      <c r="D20" s="637" t="s">
        <v>25</v>
      </c>
      <c r="E20" s="637"/>
    </row>
    <row r="21" spans="1:5"/>
    <row r="22" spans="1:5"/>
    <row r="23" spans="1:5">
      <c r="D23" s="94" t="s">
        <v>27</v>
      </c>
      <c r="E23" s="25"/>
    </row>
    <row r="24" spans="1:5"/>
    <row r="25" spans="1:5"/>
  </sheetData>
  <mergeCells count="12">
    <mergeCell ref="C19:E19"/>
    <mergeCell ref="D20:E20"/>
    <mergeCell ref="C14:E14"/>
    <mergeCell ref="C15:E15"/>
    <mergeCell ref="C16:E16"/>
    <mergeCell ref="C17:E17"/>
    <mergeCell ref="C18:E18"/>
    <mergeCell ref="C7:E7"/>
    <mergeCell ref="C10:E10"/>
    <mergeCell ref="C11:E11"/>
    <mergeCell ref="C12:E12"/>
    <mergeCell ref="C13:E13"/>
  </mergeCells>
  <hyperlinks>
    <hyperlink ref="C5" r:id="rId1"/>
  </hyperlinks>
  <pageMargins left="0.118110236220472" right="0.118110236220472" top="0.35433070866141703" bottom="0.35433070866141703" header="0.31496062992126" footer="0.31496062992126"/>
  <pageSetup paperSize="126" orientation="portrait" horizontalDpi="120" verticalDpi="72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7"/>
  <sheetViews>
    <sheetView topLeftCell="A31" workbookViewId="0">
      <selection activeCell="F40" sqref="F40"/>
    </sheetView>
  </sheetViews>
  <sheetFormatPr defaultColWidth="9.140625" defaultRowHeight="15"/>
  <cols>
    <col min="1" max="1" width="11.5703125" customWidth="1"/>
    <col min="2" max="2" width="26.140625" customWidth="1"/>
    <col min="3" max="3" width="15.140625" customWidth="1"/>
    <col min="4" max="4" width="10.85546875" customWidth="1"/>
    <col min="5" max="5" width="13.85546875" customWidth="1"/>
    <col min="6" max="6" width="27.85546875" customWidth="1"/>
    <col min="8" max="8" width="10.7109375" customWidth="1"/>
    <col min="9" max="9" width="12.42578125" customWidth="1"/>
  </cols>
  <sheetData>
    <row r="1" spans="1:6">
      <c r="A1" s="71" t="s">
        <v>152</v>
      </c>
      <c r="B1" s="71" t="s">
        <v>153</v>
      </c>
      <c r="C1" s="71" t="s">
        <v>154</v>
      </c>
      <c r="D1" s="71" t="s">
        <v>155</v>
      </c>
      <c r="E1" s="71" t="s">
        <v>156</v>
      </c>
      <c r="F1" s="72" t="s">
        <v>157</v>
      </c>
    </row>
    <row r="2" spans="1:6">
      <c r="A2" s="73">
        <v>44718</v>
      </c>
      <c r="B2" s="74" t="s">
        <v>158</v>
      </c>
      <c r="C2" s="75">
        <v>169561100</v>
      </c>
      <c r="D2" s="73">
        <v>44692</v>
      </c>
      <c r="E2" s="75">
        <v>25000000</v>
      </c>
      <c r="F2" s="75" t="s">
        <v>159</v>
      </c>
    </row>
    <row r="3" spans="1:6">
      <c r="A3" s="73">
        <v>44690</v>
      </c>
      <c r="B3" s="74" t="s">
        <v>160</v>
      </c>
      <c r="C3" s="75">
        <v>11000000</v>
      </c>
      <c r="D3" s="73">
        <v>44693</v>
      </c>
      <c r="E3" s="75">
        <v>35000000</v>
      </c>
      <c r="F3" s="75" t="s">
        <v>161</v>
      </c>
    </row>
    <row r="4" spans="1:6">
      <c r="A4" s="73">
        <v>44691</v>
      </c>
      <c r="B4" s="74" t="s">
        <v>162</v>
      </c>
      <c r="C4" s="75">
        <v>27778850</v>
      </c>
      <c r="D4" s="73">
        <v>44693</v>
      </c>
      <c r="E4" s="75">
        <v>3085500</v>
      </c>
      <c r="F4" s="76" t="s">
        <v>163</v>
      </c>
    </row>
    <row r="5" spans="1:6">
      <c r="A5" s="73"/>
      <c r="B5" s="74" t="s">
        <v>164</v>
      </c>
      <c r="C5" s="75">
        <v>2385000</v>
      </c>
      <c r="D5" s="73">
        <v>44698</v>
      </c>
      <c r="E5" s="75">
        <v>30000000</v>
      </c>
      <c r="F5" s="75" t="s">
        <v>161</v>
      </c>
    </row>
    <row r="6" spans="1:6">
      <c r="A6" s="73">
        <v>44691</v>
      </c>
      <c r="B6" s="74" t="s">
        <v>165</v>
      </c>
      <c r="C6" s="75">
        <v>21200000</v>
      </c>
      <c r="D6" s="73">
        <v>44699</v>
      </c>
      <c r="E6" s="75">
        <v>40000000</v>
      </c>
      <c r="F6" s="75" t="s">
        <v>161</v>
      </c>
    </row>
    <row r="7" spans="1:6">
      <c r="A7" s="73"/>
      <c r="B7" s="74" t="s">
        <v>166</v>
      </c>
      <c r="C7" s="75">
        <v>3808000</v>
      </c>
      <c r="D7" s="73">
        <v>44700</v>
      </c>
      <c r="E7" s="75">
        <v>40000000</v>
      </c>
      <c r="F7" s="75"/>
    </row>
    <row r="8" spans="1:6">
      <c r="A8" s="73">
        <v>44691</v>
      </c>
      <c r="B8" s="74" t="s">
        <v>167</v>
      </c>
      <c r="C8" s="75">
        <v>10500000</v>
      </c>
      <c r="D8" s="77"/>
      <c r="E8" s="78"/>
      <c r="F8" s="75"/>
    </row>
    <row r="9" spans="1:6">
      <c r="A9" s="73">
        <v>44692</v>
      </c>
      <c r="B9" s="74" t="s">
        <v>168</v>
      </c>
      <c r="C9" s="75">
        <v>4650000</v>
      </c>
      <c r="D9" s="73">
        <v>44705</v>
      </c>
      <c r="E9" s="75">
        <v>30000000</v>
      </c>
      <c r="F9" s="75" t="s">
        <v>169</v>
      </c>
    </row>
    <row r="10" spans="1:6">
      <c r="A10" s="73">
        <v>44692</v>
      </c>
      <c r="B10" s="74" t="s">
        <v>170</v>
      </c>
      <c r="C10" s="75">
        <v>23400000</v>
      </c>
      <c r="D10" s="73">
        <v>44706</v>
      </c>
      <c r="E10" s="75">
        <v>39000000</v>
      </c>
      <c r="F10" s="75" t="s">
        <v>159</v>
      </c>
    </row>
    <row r="11" spans="1:6">
      <c r="A11" s="73">
        <v>44693</v>
      </c>
      <c r="B11" s="74" t="s">
        <v>171</v>
      </c>
      <c r="C11" s="75">
        <v>12000000</v>
      </c>
      <c r="D11" s="73">
        <v>44706</v>
      </c>
      <c r="E11" s="75">
        <v>30000000</v>
      </c>
      <c r="F11" s="75" t="s">
        <v>161</v>
      </c>
    </row>
    <row r="12" spans="1:6">
      <c r="A12" s="73">
        <v>44693</v>
      </c>
      <c r="B12" s="74" t="s">
        <v>172</v>
      </c>
      <c r="C12" s="75">
        <v>11500000</v>
      </c>
      <c r="D12" s="73">
        <v>44709</v>
      </c>
      <c r="E12" s="75">
        <v>20000000</v>
      </c>
      <c r="F12" s="75" t="s">
        <v>173</v>
      </c>
    </row>
    <row r="13" spans="1:6">
      <c r="A13" s="73">
        <v>44695</v>
      </c>
      <c r="B13" s="74" t="s">
        <v>174</v>
      </c>
      <c r="C13" s="75">
        <v>26200000</v>
      </c>
      <c r="D13" s="73">
        <v>44712</v>
      </c>
      <c r="E13" s="75">
        <v>30000000</v>
      </c>
      <c r="F13" s="75" t="s">
        <v>175</v>
      </c>
    </row>
    <row r="14" spans="1:6">
      <c r="A14" s="73">
        <v>44699</v>
      </c>
      <c r="B14" s="74" t="s">
        <v>176</v>
      </c>
      <c r="C14" s="75">
        <v>25800000</v>
      </c>
      <c r="D14" s="73">
        <v>44713</v>
      </c>
      <c r="E14" s="75">
        <v>30000000</v>
      </c>
      <c r="F14" s="75" t="s">
        <v>175</v>
      </c>
    </row>
    <row r="15" spans="1:6">
      <c r="A15" s="73">
        <v>44702</v>
      </c>
      <c r="B15" s="74" t="s">
        <v>177</v>
      </c>
      <c r="C15" s="75">
        <v>28000000</v>
      </c>
      <c r="D15" s="73">
        <v>44714</v>
      </c>
      <c r="E15" s="75">
        <v>30000000</v>
      </c>
      <c r="F15" s="75" t="s">
        <v>175</v>
      </c>
    </row>
    <row r="16" spans="1:6">
      <c r="A16" s="79"/>
      <c r="B16" s="80" t="s">
        <v>178</v>
      </c>
      <c r="C16" s="75"/>
      <c r="D16" s="73">
        <v>44716</v>
      </c>
      <c r="E16" s="75">
        <v>40000000</v>
      </c>
      <c r="F16" s="75" t="s">
        <v>179</v>
      </c>
    </row>
    <row r="17" spans="1:6">
      <c r="A17" s="73">
        <v>44705</v>
      </c>
      <c r="B17" s="74" t="s">
        <v>180</v>
      </c>
      <c r="C17" s="75">
        <v>9750000</v>
      </c>
      <c r="D17" s="77"/>
      <c r="E17" s="78"/>
      <c r="F17" s="75"/>
    </row>
    <row r="18" spans="1:6">
      <c r="A18" s="73"/>
      <c r="B18" s="74" t="s">
        <v>181</v>
      </c>
      <c r="C18" s="75">
        <v>140000</v>
      </c>
      <c r="D18" s="73">
        <v>44718</v>
      </c>
      <c r="E18" s="75">
        <v>80000000</v>
      </c>
      <c r="F18" s="75"/>
    </row>
    <row r="19" spans="1:6">
      <c r="A19" s="73"/>
      <c r="B19" s="74" t="s">
        <v>182</v>
      </c>
      <c r="C19" s="75">
        <v>3200000</v>
      </c>
      <c r="D19" s="73">
        <v>44719</v>
      </c>
      <c r="E19" s="75">
        <v>50000000</v>
      </c>
      <c r="F19" s="75"/>
    </row>
    <row r="20" spans="1:6">
      <c r="A20" s="73">
        <v>44705</v>
      </c>
      <c r="B20" s="74" t="s">
        <v>183</v>
      </c>
      <c r="C20" s="75">
        <v>18830900</v>
      </c>
      <c r="D20" s="73">
        <v>44720</v>
      </c>
      <c r="E20" s="75">
        <v>30000000</v>
      </c>
      <c r="F20" s="75"/>
    </row>
    <row r="21" spans="1:6">
      <c r="A21" s="73"/>
      <c r="B21" s="74" t="s">
        <v>184</v>
      </c>
      <c r="C21" s="75">
        <v>3445000</v>
      </c>
      <c r="D21" s="73"/>
      <c r="E21" s="75"/>
      <c r="F21" s="75"/>
    </row>
    <row r="22" spans="1:6">
      <c r="A22" s="73"/>
      <c r="B22" s="74" t="s">
        <v>185</v>
      </c>
      <c r="C22" s="75">
        <v>17750000</v>
      </c>
      <c r="D22" s="73"/>
      <c r="E22" s="75"/>
      <c r="F22" s="75"/>
    </row>
    <row r="23" spans="1:6">
      <c r="A23" s="73">
        <v>44706</v>
      </c>
      <c r="B23" s="74" t="s">
        <v>186</v>
      </c>
      <c r="C23" s="75">
        <v>20500000</v>
      </c>
      <c r="D23" s="73"/>
      <c r="E23" s="75"/>
      <c r="F23" s="75"/>
    </row>
    <row r="24" spans="1:6">
      <c r="A24" s="73">
        <v>44708</v>
      </c>
      <c r="B24" s="74" t="s">
        <v>187</v>
      </c>
      <c r="C24" s="75">
        <v>29500000</v>
      </c>
      <c r="D24" s="73"/>
      <c r="E24" s="75"/>
      <c r="F24" s="75"/>
    </row>
    <row r="25" spans="1:6">
      <c r="A25" s="73"/>
      <c r="B25" s="74" t="s">
        <v>188</v>
      </c>
      <c r="C25" s="75">
        <v>3646500</v>
      </c>
      <c r="D25" s="73"/>
      <c r="E25" s="75"/>
      <c r="F25" s="75"/>
    </row>
    <row r="26" spans="1:6">
      <c r="A26" s="73">
        <v>44709</v>
      </c>
      <c r="B26" s="74" t="s">
        <v>189</v>
      </c>
      <c r="C26" s="75">
        <v>47300000</v>
      </c>
      <c r="D26" s="73"/>
      <c r="E26" s="75"/>
      <c r="F26" s="75"/>
    </row>
    <row r="27" spans="1:6">
      <c r="A27" s="73">
        <v>44702</v>
      </c>
      <c r="B27" s="74" t="s">
        <v>190</v>
      </c>
      <c r="C27" s="75">
        <v>31250000</v>
      </c>
      <c r="D27" s="73"/>
      <c r="E27" s="75"/>
      <c r="F27" s="75"/>
    </row>
    <row r="28" spans="1:6">
      <c r="A28" s="73">
        <v>44714</v>
      </c>
      <c r="B28" s="74" t="s">
        <v>191</v>
      </c>
      <c r="C28" s="75">
        <v>4000000</v>
      </c>
      <c r="D28" s="73"/>
      <c r="E28" s="75"/>
      <c r="F28" s="75"/>
    </row>
    <row r="29" spans="1:6">
      <c r="A29" s="73"/>
      <c r="B29" s="74" t="s">
        <v>192</v>
      </c>
      <c r="C29" s="75">
        <v>34099450</v>
      </c>
      <c r="D29" s="73"/>
      <c r="E29" s="75"/>
      <c r="F29" s="75"/>
    </row>
    <row r="30" spans="1:6">
      <c r="A30" s="73"/>
      <c r="B30" s="74" t="s">
        <v>193</v>
      </c>
      <c r="C30" s="75">
        <v>7950000</v>
      </c>
      <c r="D30" s="73"/>
      <c r="E30" s="75"/>
      <c r="F30" s="75"/>
    </row>
    <row r="31" spans="1:6">
      <c r="A31" s="73">
        <v>44715</v>
      </c>
      <c r="B31" s="74" t="s">
        <v>194</v>
      </c>
      <c r="C31" s="75">
        <v>12250000</v>
      </c>
      <c r="D31" s="73"/>
      <c r="E31" s="75"/>
      <c r="F31" s="75"/>
    </row>
    <row r="32" spans="1:6">
      <c r="A32" s="73">
        <v>44715</v>
      </c>
      <c r="B32" s="74" t="s">
        <v>195</v>
      </c>
      <c r="C32" s="75">
        <v>11750000</v>
      </c>
      <c r="D32" s="73"/>
      <c r="E32" s="75"/>
      <c r="F32" s="75"/>
    </row>
    <row r="33" spans="1:6">
      <c r="A33" s="73">
        <v>44715</v>
      </c>
      <c r="B33" s="74" t="s">
        <v>196</v>
      </c>
      <c r="C33" s="75">
        <v>11100000</v>
      </c>
      <c r="D33" s="73"/>
      <c r="E33" s="75"/>
      <c r="F33" s="75"/>
    </row>
    <row r="34" spans="1:6">
      <c r="A34" s="73">
        <v>44715</v>
      </c>
      <c r="B34" s="74" t="s">
        <v>197</v>
      </c>
      <c r="C34" s="75">
        <v>10950000</v>
      </c>
      <c r="D34" s="73"/>
      <c r="E34" s="75"/>
      <c r="F34" s="75"/>
    </row>
    <row r="35" spans="1:6">
      <c r="A35" s="73">
        <v>44716</v>
      </c>
      <c r="B35" s="74" t="s">
        <v>198</v>
      </c>
      <c r="C35" s="75">
        <v>28700000</v>
      </c>
      <c r="D35" s="73"/>
      <c r="E35" s="75"/>
      <c r="F35" s="75"/>
    </row>
    <row r="36" spans="1:6">
      <c r="A36" s="73">
        <v>44716</v>
      </c>
      <c r="B36" s="74" t="s">
        <v>199</v>
      </c>
      <c r="C36" s="75">
        <v>11000000</v>
      </c>
      <c r="D36" s="73"/>
      <c r="E36" s="75"/>
      <c r="F36" s="75"/>
    </row>
    <row r="37" spans="1:6">
      <c r="A37" s="73">
        <v>44716</v>
      </c>
      <c r="B37" s="74" t="s">
        <v>199</v>
      </c>
      <c r="C37" s="75">
        <v>11000000</v>
      </c>
      <c r="D37" s="73"/>
      <c r="E37" s="75"/>
      <c r="F37" s="75"/>
    </row>
    <row r="38" spans="1:6">
      <c r="A38" s="73">
        <v>44716</v>
      </c>
      <c r="B38" s="74" t="s">
        <v>200</v>
      </c>
      <c r="C38" s="75">
        <v>15550000</v>
      </c>
      <c r="D38" s="73"/>
      <c r="E38" s="75"/>
      <c r="F38" s="75"/>
    </row>
    <row r="39" spans="1:6">
      <c r="A39" s="77"/>
      <c r="B39" s="80" t="s">
        <v>201</v>
      </c>
      <c r="C39" s="75"/>
      <c r="D39" s="73"/>
      <c r="E39" s="75"/>
      <c r="F39" s="75"/>
    </row>
    <row r="40" spans="1:6">
      <c r="A40" s="73">
        <v>44718</v>
      </c>
      <c r="B40" s="81" t="s">
        <v>202</v>
      </c>
      <c r="C40" s="75">
        <v>39821650</v>
      </c>
      <c r="D40" s="73"/>
      <c r="E40" s="75"/>
      <c r="F40" s="75"/>
    </row>
    <row r="41" spans="1:6">
      <c r="A41" s="73">
        <v>44718</v>
      </c>
      <c r="B41" s="82" t="s">
        <v>203</v>
      </c>
      <c r="C41" s="75">
        <v>84832550</v>
      </c>
      <c r="D41" s="73"/>
      <c r="E41" s="75"/>
      <c r="F41" s="75"/>
    </row>
    <row r="42" spans="1:6">
      <c r="A42" s="73"/>
      <c r="B42" s="74" t="s">
        <v>204</v>
      </c>
      <c r="C42" s="75">
        <v>19400000</v>
      </c>
      <c r="D42" s="73"/>
      <c r="E42" s="75"/>
      <c r="F42" s="75"/>
    </row>
    <row r="43" spans="1:6">
      <c r="A43" s="73">
        <v>44718</v>
      </c>
      <c r="B43" s="74" t="s">
        <v>205</v>
      </c>
      <c r="C43" s="75">
        <v>28600000</v>
      </c>
      <c r="D43" s="73"/>
      <c r="E43" s="75"/>
      <c r="F43" s="75"/>
    </row>
    <row r="44" spans="1:6">
      <c r="A44" s="73">
        <v>44718</v>
      </c>
      <c r="B44" s="74" t="s">
        <v>199</v>
      </c>
      <c r="C44" s="75">
        <v>11000000</v>
      </c>
      <c r="D44" s="73"/>
      <c r="E44" s="75"/>
      <c r="F44" s="75"/>
    </row>
    <row r="45" spans="1:6">
      <c r="A45" s="73">
        <v>44718</v>
      </c>
      <c r="B45" s="74" t="s">
        <v>206</v>
      </c>
      <c r="C45" s="75">
        <v>15000000</v>
      </c>
      <c r="D45" s="73"/>
      <c r="E45" s="75"/>
      <c r="F45" s="75"/>
    </row>
    <row r="46" spans="1:6">
      <c r="A46" s="73">
        <v>44719</v>
      </c>
      <c r="B46" s="74" t="s">
        <v>207</v>
      </c>
      <c r="C46" s="75">
        <v>57951300</v>
      </c>
      <c r="D46" s="73"/>
      <c r="E46" s="75"/>
      <c r="F46" s="75"/>
    </row>
    <row r="47" spans="1:6">
      <c r="A47" s="73">
        <v>44719</v>
      </c>
      <c r="B47" s="74" t="s">
        <v>208</v>
      </c>
      <c r="C47" s="75">
        <v>12850000</v>
      </c>
      <c r="D47" s="73"/>
      <c r="E47" s="75"/>
      <c r="F47" s="75"/>
    </row>
    <row r="48" spans="1:6">
      <c r="A48" s="73">
        <v>44719</v>
      </c>
      <c r="B48" s="74" t="s">
        <v>199</v>
      </c>
      <c r="C48" s="75">
        <v>11000000</v>
      </c>
      <c r="D48" s="73"/>
      <c r="E48" s="75"/>
      <c r="F48" s="75"/>
    </row>
    <row r="49" spans="1:6">
      <c r="A49" s="73">
        <v>44720</v>
      </c>
      <c r="B49" s="74" t="s">
        <v>209</v>
      </c>
      <c r="C49" s="75">
        <v>29200000</v>
      </c>
      <c r="D49" s="73"/>
      <c r="E49" s="75"/>
      <c r="F49" s="75"/>
    </row>
    <row r="50" spans="1:6">
      <c r="A50" s="73">
        <v>44720</v>
      </c>
      <c r="B50" s="74" t="s">
        <v>210</v>
      </c>
      <c r="C50" s="75">
        <v>7200000</v>
      </c>
      <c r="D50" s="73"/>
      <c r="E50" s="75"/>
      <c r="F50" s="75"/>
    </row>
    <row r="51" spans="1:6">
      <c r="A51" s="73">
        <v>44720</v>
      </c>
      <c r="B51" s="74" t="s">
        <v>211</v>
      </c>
      <c r="C51" s="75">
        <v>10000000</v>
      </c>
      <c r="D51" s="73"/>
      <c r="E51" s="75"/>
      <c r="F51" s="75"/>
    </row>
    <row r="52" spans="1:6">
      <c r="A52" s="73">
        <v>44718</v>
      </c>
      <c r="B52" s="74" t="s">
        <v>212</v>
      </c>
      <c r="C52" s="75">
        <v>1105000</v>
      </c>
      <c r="D52" s="73"/>
      <c r="E52" s="75"/>
      <c r="F52" s="75"/>
    </row>
    <row r="53" spans="1:6">
      <c r="A53" s="73"/>
      <c r="B53" s="74" t="s">
        <v>213</v>
      </c>
      <c r="C53" s="75">
        <v>170000</v>
      </c>
      <c r="D53" s="73"/>
      <c r="E53" s="75"/>
      <c r="F53" s="75"/>
    </row>
    <row r="54" spans="1:6">
      <c r="A54" s="73"/>
      <c r="B54" s="74" t="s">
        <v>212</v>
      </c>
      <c r="C54" s="75">
        <v>1105000</v>
      </c>
      <c r="D54" s="73"/>
      <c r="E54" s="75"/>
      <c r="F54" s="75"/>
    </row>
    <row r="55" spans="1:6">
      <c r="A55" s="73"/>
      <c r="B55" s="72" t="s">
        <v>23</v>
      </c>
      <c r="C55" s="75">
        <f>SUM(C2:C54)</f>
        <v>1050680300</v>
      </c>
      <c r="D55" s="74"/>
      <c r="E55" s="75">
        <f>SUM(E2:E54)</f>
        <v>582085500</v>
      </c>
      <c r="F55" s="75"/>
    </row>
    <row r="56" spans="1:6">
      <c r="A56" s="73"/>
      <c r="B56" s="72" t="s">
        <v>214</v>
      </c>
      <c r="C56" s="644">
        <f>E55-C55</f>
        <v>-468594800</v>
      </c>
      <c r="D56" s="645"/>
      <c r="E56" s="646"/>
      <c r="F56" s="83"/>
    </row>
    <row r="57" spans="1:6">
      <c r="A57" s="84"/>
    </row>
  </sheetData>
  <mergeCells count="1">
    <mergeCell ref="C56:E56"/>
  </mergeCells>
  <pageMargins left="0.118110236220472" right="0.118110236220472" top="0.47" bottom="0.15748031496063" header="0.31496062992126" footer="0.31496062992126"/>
  <pageSetup paperSize="9" orientation="portrait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089"/>
  <sheetViews>
    <sheetView tabSelected="1" zoomScale="80" zoomScaleNormal="80" zoomScaleSheetLayoutView="80" workbookViewId="0">
      <pane ySplit="1" topLeftCell="A1026" activePane="bottomLeft" state="frozen"/>
      <selection activeCell="B1" sqref="B1"/>
      <selection pane="bottomLeft" activeCell="F1049" sqref="F1049"/>
    </sheetView>
  </sheetViews>
  <sheetFormatPr defaultColWidth="8.85546875" defaultRowHeight="15"/>
  <cols>
    <col min="2" max="2" width="11.5703125" style="27" customWidth="1"/>
    <col min="3" max="3" width="26.140625" customWidth="1"/>
    <col min="4" max="4" width="8.7109375" style="25" customWidth="1"/>
    <col min="5" max="5" width="13.140625" style="25" customWidth="1"/>
    <col min="6" max="6" width="18.7109375" customWidth="1"/>
    <col min="7" max="7" width="1.85546875" style="279" customWidth="1"/>
    <col min="8" max="8" width="17.85546875" style="28" bestFit="1" customWidth="1"/>
    <col min="9" max="9" width="19.28515625" style="29" customWidth="1"/>
    <col min="10" max="10" width="27.85546875" customWidth="1"/>
    <col min="11" max="11" width="17.42578125" bestFit="1" customWidth="1"/>
    <col min="12" max="12" width="19.28515625" customWidth="1"/>
    <col min="13" max="13" width="10.140625" customWidth="1"/>
    <col min="14" max="14" width="16" bestFit="1" customWidth="1"/>
    <col min="23" max="23" width="11.42578125" customWidth="1"/>
    <col min="24" max="24" width="14.42578125" customWidth="1"/>
    <col min="25" max="25" width="4.7109375" customWidth="1"/>
    <col min="26" max="26" width="14" customWidth="1"/>
  </cols>
  <sheetData>
    <row r="1" spans="1:13" s="25" customFormat="1">
      <c r="A1" s="515"/>
      <c r="B1" s="30" t="s">
        <v>152</v>
      </c>
      <c r="C1" s="30" t="s">
        <v>153</v>
      </c>
      <c r="D1" s="30" t="s">
        <v>18</v>
      </c>
      <c r="E1" s="30" t="s">
        <v>17</v>
      </c>
      <c r="F1" s="30" t="s">
        <v>154</v>
      </c>
      <c r="G1" s="31"/>
      <c r="H1" s="266" t="s">
        <v>155</v>
      </c>
      <c r="I1" s="30" t="s">
        <v>156</v>
      </c>
      <c r="J1" s="49" t="s">
        <v>215</v>
      </c>
      <c r="L1" s="25" t="s">
        <v>216</v>
      </c>
      <c r="M1" s="25" t="s">
        <v>17</v>
      </c>
    </row>
    <row r="2" spans="1:13">
      <c r="B2" s="32">
        <v>44693</v>
      </c>
      <c r="C2" s="33" t="s">
        <v>217</v>
      </c>
      <c r="D2" s="34"/>
      <c r="E2" s="34"/>
      <c r="F2" s="35">
        <v>328729000</v>
      </c>
      <c r="G2" s="36"/>
      <c r="H2" s="267">
        <v>44785</v>
      </c>
      <c r="I2" s="38">
        <v>20000000</v>
      </c>
      <c r="J2" s="50" t="s">
        <v>218</v>
      </c>
      <c r="L2" t="s">
        <v>219</v>
      </c>
      <c r="M2" s="51">
        <v>46000</v>
      </c>
    </row>
    <row r="3" spans="1:13">
      <c r="B3" s="37">
        <v>44724</v>
      </c>
      <c r="C3" s="39" t="s">
        <v>219</v>
      </c>
      <c r="D3" s="40">
        <v>305</v>
      </c>
      <c r="E3" s="41">
        <v>46500</v>
      </c>
      <c r="F3" s="42">
        <f>D3*E3</f>
        <v>14182500</v>
      </c>
      <c r="G3" s="36"/>
      <c r="H3" s="267">
        <v>44907</v>
      </c>
      <c r="I3" s="38">
        <v>30000000</v>
      </c>
      <c r="J3" s="50" t="s">
        <v>218</v>
      </c>
      <c r="L3" t="s">
        <v>220</v>
      </c>
      <c r="M3" s="51">
        <v>27000</v>
      </c>
    </row>
    <row r="4" spans="1:13">
      <c r="B4" s="37">
        <v>44754</v>
      </c>
      <c r="C4" s="39" t="s">
        <v>219</v>
      </c>
      <c r="D4" s="40">
        <v>334</v>
      </c>
      <c r="E4" s="41">
        <v>46500</v>
      </c>
      <c r="F4" s="42">
        <f t="shared" ref="F4:F36" si="0">D4*E4</f>
        <v>15531000</v>
      </c>
      <c r="G4" s="36"/>
      <c r="H4" s="267" t="s">
        <v>221</v>
      </c>
      <c r="I4" s="38">
        <v>51000000</v>
      </c>
      <c r="J4" s="50" t="s">
        <v>218</v>
      </c>
      <c r="L4" t="s">
        <v>222</v>
      </c>
      <c r="M4" s="51">
        <v>14000</v>
      </c>
    </row>
    <row r="5" spans="1:13">
      <c r="B5" s="37">
        <v>44785</v>
      </c>
      <c r="C5" s="39" t="s">
        <v>219</v>
      </c>
      <c r="D5" s="40">
        <v>300</v>
      </c>
      <c r="E5" s="41">
        <v>46500</v>
      </c>
      <c r="F5" s="42">
        <f t="shared" si="0"/>
        <v>13950000</v>
      </c>
      <c r="G5" s="36"/>
      <c r="H5" s="268" t="s">
        <v>223</v>
      </c>
      <c r="I5" s="38">
        <v>20000000</v>
      </c>
      <c r="J5" s="39" t="s">
        <v>218</v>
      </c>
      <c r="L5" t="s">
        <v>224</v>
      </c>
      <c r="M5" s="51">
        <v>14000</v>
      </c>
    </row>
    <row r="6" spans="1:13">
      <c r="B6" s="37">
        <v>44785</v>
      </c>
      <c r="C6" s="39" t="s">
        <v>219</v>
      </c>
      <c r="D6" s="40">
        <v>361</v>
      </c>
      <c r="E6" s="41">
        <v>46500</v>
      </c>
      <c r="F6" s="42">
        <f t="shared" si="0"/>
        <v>16786500</v>
      </c>
      <c r="G6" s="36"/>
      <c r="H6" s="267" t="s">
        <v>225</v>
      </c>
      <c r="I6" s="38">
        <v>40000000</v>
      </c>
      <c r="J6" s="50" t="s">
        <v>218</v>
      </c>
      <c r="L6" t="s">
        <v>226</v>
      </c>
      <c r="M6" s="51">
        <v>95500</v>
      </c>
    </row>
    <row r="7" spans="1:13">
      <c r="B7" s="37">
        <v>44846</v>
      </c>
      <c r="C7" s="39" t="s">
        <v>219</v>
      </c>
      <c r="D7" s="40">
        <v>365</v>
      </c>
      <c r="E7" s="41">
        <v>46500</v>
      </c>
      <c r="F7" s="42">
        <f t="shared" si="0"/>
        <v>16972500</v>
      </c>
      <c r="G7" s="36"/>
      <c r="H7" s="268"/>
      <c r="I7" s="38"/>
      <c r="J7" s="39"/>
    </row>
    <row r="8" spans="1:13">
      <c r="B8" s="37">
        <v>44907</v>
      </c>
      <c r="C8" s="39" t="s">
        <v>219</v>
      </c>
      <c r="D8" s="40">
        <v>317</v>
      </c>
      <c r="E8" s="41">
        <v>46500</v>
      </c>
      <c r="F8" s="42">
        <f t="shared" si="0"/>
        <v>14740500</v>
      </c>
      <c r="G8" s="36"/>
      <c r="H8" s="267">
        <v>44986</v>
      </c>
      <c r="I8" s="38">
        <v>40000000</v>
      </c>
      <c r="J8" s="39" t="s">
        <v>218</v>
      </c>
    </row>
    <row r="9" spans="1:13">
      <c r="B9" s="37">
        <v>44907</v>
      </c>
      <c r="C9" s="39" t="s">
        <v>219</v>
      </c>
      <c r="D9" s="40">
        <v>335</v>
      </c>
      <c r="E9" s="41">
        <v>46500</v>
      </c>
      <c r="F9" s="42">
        <f t="shared" si="0"/>
        <v>15577500</v>
      </c>
      <c r="G9" s="36"/>
      <c r="H9" s="267">
        <v>45170</v>
      </c>
      <c r="I9" s="38">
        <v>40000000</v>
      </c>
      <c r="J9" s="39" t="s">
        <v>218</v>
      </c>
    </row>
    <row r="10" spans="1:13">
      <c r="B10" s="899" t="s">
        <v>227</v>
      </c>
      <c r="C10" s="39" t="s">
        <v>222</v>
      </c>
      <c r="D10" s="40">
        <v>100</v>
      </c>
      <c r="E10" s="41">
        <f>IFERROR(INDEX(daftar,MATCH(C10,nmdaftar,0),2),"-")</f>
        <v>14000</v>
      </c>
      <c r="F10" s="42">
        <f t="shared" si="0"/>
        <v>1400000</v>
      </c>
      <c r="G10" s="36"/>
      <c r="H10" s="267">
        <v>45261</v>
      </c>
      <c r="I10" s="38">
        <v>30000000</v>
      </c>
      <c r="J10" s="39" t="s">
        <v>218</v>
      </c>
    </row>
    <row r="11" spans="1:13">
      <c r="B11" s="901"/>
      <c r="C11" s="39" t="s">
        <v>219</v>
      </c>
      <c r="D11" s="40">
        <v>502</v>
      </c>
      <c r="E11" s="41">
        <v>46500</v>
      </c>
      <c r="F11" s="42">
        <f t="shared" si="0"/>
        <v>23343000</v>
      </c>
      <c r="G11" s="36"/>
      <c r="H11" s="268" t="s">
        <v>228</v>
      </c>
      <c r="I11" s="38">
        <v>35000000</v>
      </c>
      <c r="J11" s="39" t="s">
        <v>218</v>
      </c>
    </row>
    <row r="12" spans="1:13">
      <c r="B12" s="37" t="s">
        <v>227</v>
      </c>
      <c r="C12" s="39" t="s">
        <v>219</v>
      </c>
      <c r="D12" s="40">
        <v>269</v>
      </c>
      <c r="E12" s="41">
        <v>46500</v>
      </c>
      <c r="F12" s="42">
        <f t="shared" si="0"/>
        <v>12508500</v>
      </c>
      <c r="G12" s="36"/>
      <c r="H12" s="267" t="s">
        <v>229</v>
      </c>
      <c r="I12" s="38">
        <v>20000000</v>
      </c>
      <c r="J12" s="50" t="s">
        <v>218</v>
      </c>
    </row>
    <row r="13" spans="1:13">
      <c r="B13" s="37" t="s">
        <v>230</v>
      </c>
      <c r="C13" s="39" t="s">
        <v>219</v>
      </c>
      <c r="D13" s="40">
        <v>570</v>
      </c>
      <c r="E13" s="41">
        <v>46500</v>
      </c>
      <c r="F13" s="42">
        <f t="shared" si="0"/>
        <v>26505000</v>
      </c>
      <c r="G13" s="36"/>
      <c r="H13" s="267" t="s">
        <v>231</v>
      </c>
      <c r="I13" s="38">
        <v>20000000</v>
      </c>
      <c r="J13" s="50" t="s">
        <v>218</v>
      </c>
    </row>
    <row r="14" spans="1:13">
      <c r="B14" s="899" t="s">
        <v>232</v>
      </c>
      <c r="C14" s="39" t="s">
        <v>219</v>
      </c>
      <c r="D14" s="40">
        <v>113</v>
      </c>
      <c r="E14" s="41">
        <v>46500</v>
      </c>
      <c r="F14" s="42">
        <f t="shared" si="0"/>
        <v>5254500</v>
      </c>
      <c r="G14" s="36"/>
      <c r="H14" s="267" t="s">
        <v>233</v>
      </c>
      <c r="I14" s="38">
        <v>20000000</v>
      </c>
      <c r="J14" s="50" t="s">
        <v>218</v>
      </c>
    </row>
    <row r="15" spans="1:13">
      <c r="B15" s="901"/>
      <c r="C15" s="39" t="s">
        <v>220</v>
      </c>
      <c r="D15" s="40">
        <v>342</v>
      </c>
      <c r="E15" s="41">
        <f>IFERROR(INDEX(daftar,MATCH(C15,nmdaftar,0),2),"-")</f>
        <v>27000</v>
      </c>
      <c r="F15" s="42">
        <f t="shared" si="0"/>
        <v>9234000</v>
      </c>
      <c r="G15" s="36"/>
      <c r="H15" s="267" t="s">
        <v>234</v>
      </c>
      <c r="I15" s="38">
        <v>40000000</v>
      </c>
      <c r="J15" s="50" t="s">
        <v>218</v>
      </c>
    </row>
    <row r="16" spans="1:13">
      <c r="B16" s="37" t="s">
        <v>235</v>
      </c>
      <c r="C16" s="39" t="s">
        <v>219</v>
      </c>
      <c r="D16" s="40">
        <v>295</v>
      </c>
      <c r="E16" s="41">
        <v>46500</v>
      </c>
      <c r="F16" s="42">
        <f t="shared" si="0"/>
        <v>13717500</v>
      </c>
      <c r="G16" s="36"/>
      <c r="H16" s="268" t="s">
        <v>236</v>
      </c>
      <c r="I16" s="38">
        <v>20151000</v>
      </c>
      <c r="J16" s="39" t="s">
        <v>218</v>
      </c>
    </row>
    <row r="17" spans="2:26">
      <c r="B17" s="37" t="s">
        <v>235</v>
      </c>
      <c r="C17" s="39" t="s">
        <v>219</v>
      </c>
      <c r="D17" s="40">
        <v>245</v>
      </c>
      <c r="E17" s="41">
        <v>46500</v>
      </c>
      <c r="F17" s="42">
        <f t="shared" si="0"/>
        <v>11392500</v>
      </c>
      <c r="G17" s="36"/>
      <c r="H17" s="267" t="s">
        <v>237</v>
      </c>
      <c r="I17" s="38">
        <v>20000000</v>
      </c>
      <c r="J17" s="50" t="s">
        <v>218</v>
      </c>
    </row>
    <row r="18" spans="2:26">
      <c r="B18" s="37" t="s">
        <v>235</v>
      </c>
      <c r="C18" s="39" t="s">
        <v>219</v>
      </c>
      <c r="D18" s="40">
        <v>344</v>
      </c>
      <c r="E18" s="41">
        <v>46500</v>
      </c>
      <c r="F18" s="42">
        <f t="shared" si="0"/>
        <v>15996000</v>
      </c>
      <c r="G18" s="36"/>
      <c r="H18" s="267" t="s">
        <v>238</v>
      </c>
      <c r="I18" s="38">
        <v>30000000</v>
      </c>
      <c r="J18" s="50" t="s">
        <v>218</v>
      </c>
    </row>
    <row r="19" spans="2:26">
      <c r="B19" s="37" t="s">
        <v>235</v>
      </c>
      <c r="C19" s="39" t="s">
        <v>219</v>
      </c>
      <c r="D19" s="40">
        <v>286</v>
      </c>
      <c r="E19" s="41">
        <v>46500</v>
      </c>
      <c r="F19" s="42">
        <f t="shared" si="0"/>
        <v>13299000</v>
      </c>
      <c r="G19" s="36"/>
      <c r="H19" s="267">
        <v>44959</v>
      </c>
      <c r="I19" s="38">
        <v>30000000</v>
      </c>
      <c r="J19" s="50" t="s">
        <v>218</v>
      </c>
    </row>
    <row r="20" spans="2:26">
      <c r="B20" s="43" t="s">
        <v>225</v>
      </c>
      <c r="C20" s="39" t="s">
        <v>219</v>
      </c>
      <c r="D20" s="40">
        <v>264</v>
      </c>
      <c r="E20" s="41">
        <v>46500</v>
      </c>
      <c r="F20" s="42">
        <f t="shared" si="0"/>
        <v>12276000</v>
      </c>
      <c r="G20" s="36"/>
      <c r="H20" s="267">
        <v>45109</v>
      </c>
      <c r="I20" s="38">
        <v>30000000</v>
      </c>
      <c r="J20" s="50" t="s">
        <v>218</v>
      </c>
    </row>
    <row r="21" spans="2:26">
      <c r="B21" s="43" t="s">
        <v>239</v>
      </c>
      <c r="C21" s="39" t="s">
        <v>219</v>
      </c>
      <c r="D21" s="40">
        <v>300</v>
      </c>
      <c r="E21" s="41">
        <v>46500</v>
      </c>
      <c r="F21" s="42">
        <f t="shared" si="0"/>
        <v>13950000</v>
      </c>
      <c r="G21" s="36"/>
      <c r="H21" s="267">
        <v>45140</v>
      </c>
      <c r="I21" s="38">
        <v>32968000</v>
      </c>
      <c r="J21" s="39" t="s">
        <v>218</v>
      </c>
    </row>
    <row r="22" spans="2:26">
      <c r="B22" s="43" t="s">
        <v>240</v>
      </c>
      <c r="C22" s="39" t="s">
        <v>219</v>
      </c>
      <c r="D22" s="40">
        <v>568</v>
      </c>
      <c r="E22" s="41">
        <v>46500</v>
      </c>
      <c r="F22" s="42">
        <f t="shared" si="0"/>
        <v>26412000</v>
      </c>
      <c r="G22" s="36"/>
      <c r="H22" s="267">
        <v>45201</v>
      </c>
      <c r="I22" s="38">
        <v>36000000</v>
      </c>
      <c r="J22" s="50" t="s">
        <v>218</v>
      </c>
      <c r="W22" s="54"/>
      <c r="Y22" s="25"/>
      <c r="Z22" s="51"/>
    </row>
    <row r="23" spans="2:26">
      <c r="B23" s="43"/>
      <c r="C23" s="39"/>
      <c r="D23" s="40"/>
      <c r="E23" s="41"/>
      <c r="F23" s="42"/>
      <c r="G23" s="36"/>
      <c r="H23" s="267" t="s">
        <v>241</v>
      </c>
      <c r="I23" s="38">
        <v>30262500</v>
      </c>
      <c r="J23" s="50" t="s">
        <v>218</v>
      </c>
      <c r="W23" s="54"/>
      <c r="Y23" s="25"/>
      <c r="Z23" s="51"/>
    </row>
    <row r="24" spans="2:26">
      <c r="B24" s="37">
        <v>44986</v>
      </c>
      <c r="C24" s="39" t="s">
        <v>219</v>
      </c>
      <c r="D24" s="40">
        <v>293</v>
      </c>
      <c r="E24" s="41">
        <v>46500</v>
      </c>
      <c r="F24" s="42">
        <f t="shared" si="0"/>
        <v>13624500</v>
      </c>
      <c r="G24" s="36"/>
      <c r="H24" s="267" t="s">
        <v>242</v>
      </c>
      <c r="I24" s="38">
        <v>45000000</v>
      </c>
      <c r="J24" s="50" t="s">
        <v>218</v>
      </c>
      <c r="W24" s="54"/>
      <c r="Y24" s="25"/>
      <c r="Z24" s="51"/>
    </row>
    <row r="25" spans="2:26">
      <c r="B25" s="37">
        <v>45047</v>
      </c>
      <c r="C25" s="39" t="s">
        <v>219</v>
      </c>
      <c r="D25" s="40">
        <v>339</v>
      </c>
      <c r="E25" s="41">
        <v>46500</v>
      </c>
      <c r="F25" s="42">
        <f t="shared" si="0"/>
        <v>15763500</v>
      </c>
      <c r="G25" s="36"/>
      <c r="H25" s="267" t="s">
        <v>243</v>
      </c>
      <c r="I25" s="38">
        <v>50000000</v>
      </c>
      <c r="J25" s="50" t="s">
        <v>218</v>
      </c>
      <c r="W25" s="54"/>
      <c r="Y25" s="25"/>
      <c r="Z25" s="51"/>
    </row>
    <row r="26" spans="2:26">
      <c r="B26" s="37">
        <v>45078</v>
      </c>
      <c r="C26" s="39" t="s">
        <v>219</v>
      </c>
      <c r="D26" s="40">
        <v>301</v>
      </c>
      <c r="E26" s="41">
        <v>46500</v>
      </c>
      <c r="F26" s="42">
        <f t="shared" si="0"/>
        <v>13996500</v>
      </c>
      <c r="G26" s="36"/>
      <c r="H26" s="267" t="s">
        <v>244</v>
      </c>
      <c r="I26" s="38">
        <v>30000000</v>
      </c>
      <c r="J26" s="50" t="s">
        <v>218</v>
      </c>
      <c r="W26" s="54"/>
      <c r="Y26" s="25"/>
      <c r="Z26" s="51"/>
    </row>
    <row r="27" spans="2:26">
      <c r="B27" s="899">
        <v>45108</v>
      </c>
      <c r="C27" s="39" t="s">
        <v>219</v>
      </c>
      <c r="D27" s="40">
        <v>81</v>
      </c>
      <c r="E27" s="41">
        <v>46500</v>
      </c>
      <c r="F27" s="42">
        <f t="shared" si="0"/>
        <v>3766500</v>
      </c>
      <c r="G27" s="36"/>
      <c r="H27" s="267" t="s">
        <v>245</v>
      </c>
      <c r="I27" s="38">
        <v>30000000</v>
      </c>
      <c r="J27" s="50" t="s">
        <v>218</v>
      </c>
      <c r="W27" s="54"/>
      <c r="Y27" s="25"/>
      <c r="Z27" s="51"/>
    </row>
    <row r="28" spans="2:26">
      <c r="B28" s="900"/>
      <c r="C28" s="39" t="s">
        <v>220</v>
      </c>
      <c r="D28" s="40">
        <v>205</v>
      </c>
      <c r="E28" s="41">
        <f>IFERROR(INDEX(daftar,MATCH(C28,nmdaftar,0),2),"-")</f>
        <v>27000</v>
      </c>
      <c r="F28" s="42">
        <f t="shared" si="0"/>
        <v>5535000</v>
      </c>
      <c r="G28" s="36"/>
      <c r="H28" s="267" t="s">
        <v>246</v>
      </c>
      <c r="I28" s="38">
        <v>37671500</v>
      </c>
      <c r="J28" s="50" t="s">
        <v>218</v>
      </c>
      <c r="W28" s="54"/>
      <c r="Y28" s="25"/>
      <c r="Z28" s="51"/>
    </row>
    <row r="29" spans="2:26">
      <c r="B29" s="900"/>
      <c r="C29" s="39" t="s">
        <v>222</v>
      </c>
      <c r="D29" s="40">
        <v>300</v>
      </c>
      <c r="E29" s="41">
        <f>IFERROR(INDEX(daftar,MATCH(C29,nmdaftar,0),2),"-")</f>
        <v>14000</v>
      </c>
      <c r="F29" s="42">
        <f t="shared" si="0"/>
        <v>4200000</v>
      </c>
      <c r="G29" s="36"/>
      <c r="H29" s="267">
        <v>44929</v>
      </c>
      <c r="I29" s="38">
        <v>53428500</v>
      </c>
      <c r="J29" s="50" t="s">
        <v>218</v>
      </c>
      <c r="W29" s="54"/>
      <c r="Y29" s="25"/>
      <c r="Z29" s="51"/>
    </row>
    <row r="30" spans="2:26">
      <c r="B30" s="901"/>
      <c r="C30" s="39" t="s">
        <v>224</v>
      </c>
      <c r="D30" s="40">
        <v>200</v>
      </c>
      <c r="E30" s="41">
        <f>IFERROR(INDEX(daftar,MATCH(C30,nmdaftar,0),2),"-")</f>
        <v>14000</v>
      </c>
      <c r="F30" s="42">
        <f t="shared" si="0"/>
        <v>2800000</v>
      </c>
      <c r="G30" s="36"/>
      <c r="H30" s="269"/>
      <c r="I30" s="46"/>
      <c r="J30" s="52"/>
      <c r="W30" s="54"/>
      <c r="Y30" s="25"/>
      <c r="Z30" s="51"/>
    </row>
    <row r="31" spans="2:26">
      <c r="B31" s="37">
        <v>45108</v>
      </c>
      <c r="C31" s="39" t="s">
        <v>219</v>
      </c>
      <c r="D31" s="40">
        <v>307</v>
      </c>
      <c r="E31" s="41">
        <v>46500</v>
      </c>
      <c r="F31" s="42">
        <f t="shared" si="0"/>
        <v>14275500</v>
      </c>
      <c r="G31" s="36"/>
      <c r="H31" s="267"/>
      <c r="I31" s="38"/>
      <c r="J31" s="50"/>
      <c r="W31" s="54"/>
      <c r="Y31" s="25"/>
      <c r="Z31" s="51"/>
    </row>
    <row r="32" spans="2:26">
      <c r="B32" s="899">
        <v>45231</v>
      </c>
      <c r="C32" s="39" t="s">
        <v>219</v>
      </c>
      <c r="D32" s="40">
        <v>80</v>
      </c>
      <c r="E32" s="41">
        <v>46500</v>
      </c>
      <c r="F32" s="42">
        <f t="shared" si="0"/>
        <v>3720000</v>
      </c>
      <c r="G32" s="36"/>
      <c r="H32" s="269"/>
      <c r="I32" s="46"/>
      <c r="J32" s="52"/>
      <c r="W32" s="54"/>
      <c r="Y32" s="25"/>
      <c r="Z32" s="51"/>
    </row>
    <row r="33" spans="2:26">
      <c r="B33" s="901"/>
      <c r="C33" s="39" t="s">
        <v>220</v>
      </c>
      <c r="D33" s="40">
        <v>355</v>
      </c>
      <c r="E33" s="41">
        <f>IFERROR(INDEX(daftar,MATCH(C33,nmdaftar,0),2),"-")</f>
        <v>27000</v>
      </c>
      <c r="F33" s="42">
        <f t="shared" si="0"/>
        <v>9585000</v>
      </c>
      <c r="G33" s="36"/>
      <c r="H33" s="267"/>
      <c r="I33" s="38"/>
      <c r="J33" s="50"/>
      <c r="W33" s="54"/>
      <c r="Y33" s="25"/>
      <c r="Z33" s="51"/>
    </row>
    <row r="34" spans="2:26">
      <c r="B34" s="37">
        <v>45261</v>
      </c>
      <c r="C34" s="39" t="s">
        <v>219</v>
      </c>
      <c r="D34" s="40">
        <v>310</v>
      </c>
      <c r="E34" s="41">
        <v>46500</v>
      </c>
      <c r="F34" s="42">
        <f t="shared" si="0"/>
        <v>14415000</v>
      </c>
      <c r="G34" s="270"/>
      <c r="H34" s="269"/>
      <c r="I34" s="46"/>
      <c r="J34" s="52"/>
      <c r="W34" s="54"/>
      <c r="Y34" s="25"/>
      <c r="Z34" s="51"/>
    </row>
    <row r="35" spans="2:26">
      <c r="B35" s="37" t="s">
        <v>247</v>
      </c>
      <c r="C35" s="39" t="s">
        <v>219</v>
      </c>
      <c r="D35" s="40">
        <v>283</v>
      </c>
      <c r="E35" s="41">
        <v>46500</v>
      </c>
      <c r="F35" s="42">
        <f t="shared" si="0"/>
        <v>13159500</v>
      </c>
      <c r="G35" s="270"/>
      <c r="H35" s="268"/>
      <c r="I35" s="38"/>
      <c r="J35" s="50"/>
      <c r="W35" s="54"/>
      <c r="Y35" s="25"/>
      <c r="Z35" s="51"/>
    </row>
    <row r="36" spans="2:26">
      <c r="B36" s="37" t="s">
        <v>248</v>
      </c>
      <c r="C36" s="39" t="s">
        <v>219</v>
      </c>
      <c r="D36" s="40">
        <v>282</v>
      </c>
      <c r="E36" s="41">
        <v>46500</v>
      </c>
      <c r="F36" s="47">
        <f t="shared" si="0"/>
        <v>13113000</v>
      </c>
      <c r="G36" s="270"/>
      <c r="H36" s="269"/>
      <c r="I36" s="46"/>
      <c r="J36" s="52"/>
      <c r="W36" s="54"/>
      <c r="Y36" s="25"/>
      <c r="Z36" s="51"/>
    </row>
    <row r="37" spans="2:26">
      <c r="B37" s="37" t="s">
        <v>249</v>
      </c>
      <c r="C37" s="39" t="s">
        <v>219</v>
      </c>
      <c r="D37" s="40">
        <v>311</v>
      </c>
      <c r="E37" s="41">
        <v>46500</v>
      </c>
      <c r="F37" s="47">
        <f t="shared" ref="F37:F54" si="1">IF(E37="-","-",D37*E37)</f>
        <v>14461500</v>
      </c>
      <c r="G37" s="270"/>
      <c r="H37" s="268"/>
      <c r="I37" s="38"/>
      <c r="J37" s="50"/>
      <c r="W37" s="54"/>
      <c r="Y37" s="25"/>
      <c r="Z37" s="51"/>
    </row>
    <row r="38" spans="2:26">
      <c r="B38" s="899" t="s">
        <v>250</v>
      </c>
      <c r="C38" s="39" t="s">
        <v>219</v>
      </c>
      <c r="D38" s="40">
        <v>346</v>
      </c>
      <c r="E38" s="41">
        <v>46500</v>
      </c>
      <c r="F38" s="47">
        <f t="shared" si="1"/>
        <v>16089000</v>
      </c>
      <c r="G38" s="270"/>
      <c r="H38" s="269"/>
      <c r="I38" s="46"/>
      <c r="J38" s="52"/>
      <c r="W38" s="54"/>
      <c r="Y38" s="25"/>
      <c r="Z38" s="51"/>
    </row>
    <row r="39" spans="2:26">
      <c r="B39" s="901"/>
      <c r="C39" s="39" t="s">
        <v>220</v>
      </c>
      <c r="D39" s="40">
        <v>177</v>
      </c>
      <c r="E39" s="41">
        <f>IFERROR(INDEX(daftar,MATCH(C39,nmdaftar,0),2),"-")</f>
        <v>27000</v>
      </c>
      <c r="F39" s="47">
        <f t="shared" si="1"/>
        <v>4779000</v>
      </c>
      <c r="G39" s="270"/>
      <c r="H39" s="268"/>
      <c r="I39" s="38"/>
      <c r="J39" s="50"/>
      <c r="W39" s="54"/>
      <c r="Y39" s="25"/>
      <c r="Z39" s="51"/>
    </row>
    <row r="40" spans="2:26">
      <c r="B40" s="37" t="s">
        <v>251</v>
      </c>
      <c r="C40" s="39" t="s">
        <v>219</v>
      </c>
      <c r="D40" s="40">
        <v>305</v>
      </c>
      <c r="E40" s="41">
        <v>46500</v>
      </c>
      <c r="F40" s="47">
        <f t="shared" si="1"/>
        <v>14182500</v>
      </c>
      <c r="G40" s="270"/>
      <c r="H40" s="269"/>
      <c r="I40" s="46"/>
      <c r="J40" s="52"/>
      <c r="W40" s="54"/>
      <c r="Y40" s="25"/>
      <c r="Z40" s="51"/>
    </row>
    <row r="41" spans="2:26">
      <c r="B41" s="37" t="s">
        <v>251</v>
      </c>
      <c r="C41" s="39" t="s">
        <v>219</v>
      </c>
      <c r="D41" s="40">
        <v>356</v>
      </c>
      <c r="E41" s="41">
        <v>46500</v>
      </c>
      <c r="F41" s="47">
        <f t="shared" si="1"/>
        <v>16554000</v>
      </c>
      <c r="G41" s="270"/>
      <c r="H41" s="268"/>
      <c r="I41" s="38"/>
      <c r="J41" s="50"/>
      <c r="W41" s="54"/>
      <c r="Y41" s="25"/>
      <c r="Z41" s="51"/>
    </row>
    <row r="42" spans="2:26">
      <c r="B42" s="37" t="s">
        <v>252</v>
      </c>
      <c r="C42" s="39" t="s">
        <v>219</v>
      </c>
      <c r="D42" s="40">
        <v>320</v>
      </c>
      <c r="E42" s="41">
        <v>46500</v>
      </c>
      <c r="F42" s="47">
        <f t="shared" si="1"/>
        <v>14880000</v>
      </c>
      <c r="G42" s="270"/>
      <c r="H42" s="269"/>
      <c r="I42" s="46"/>
      <c r="J42" s="52"/>
      <c r="W42" s="54"/>
      <c r="Y42" s="25"/>
      <c r="Z42" s="51"/>
    </row>
    <row r="43" spans="2:26">
      <c r="B43" s="37" t="s">
        <v>252</v>
      </c>
      <c r="C43" s="39" t="s">
        <v>219</v>
      </c>
      <c r="D43" s="40">
        <v>264</v>
      </c>
      <c r="E43" s="41">
        <v>46500</v>
      </c>
      <c r="F43" s="47">
        <f t="shared" si="1"/>
        <v>12276000</v>
      </c>
      <c r="G43" s="270"/>
      <c r="H43" s="269"/>
      <c r="I43" s="46"/>
      <c r="J43" s="52"/>
      <c r="W43" s="54"/>
      <c r="Y43" s="25"/>
      <c r="Z43" s="51"/>
    </row>
    <row r="44" spans="2:26">
      <c r="B44" s="37" t="s">
        <v>252</v>
      </c>
      <c r="C44" s="39" t="s">
        <v>219</v>
      </c>
      <c r="D44" s="40">
        <v>302</v>
      </c>
      <c r="E44" s="41">
        <v>46500</v>
      </c>
      <c r="F44" s="47">
        <f t="shared" si="1"/>
        <v>14043000</v>
      </c>
      <c r="G44" s="270"/>
      <c r="H44" s="269"/>
      <c r="I44" s="46"/>
      <c r="J44" s="52"/>
      <c r="W44" s="54"/>
      <c r="Y44" s="25"/>
      <c r="Z44" s="51"/>
    </row>
    <row r="45" spans="2:26">
      <c r="B45" s="37" t="s">
        <v>252</v>
      </c>
      <c r="C45" s="39" t="s">
        <v>219</v>
      </c>
      <c r="D45" s="40">
        <v>527</v>
      </c>
      <c r="E45" s="41">
        <v>46500</v>
      </c>
      <c r="F45" s="47">
        <f t="shared" si="1"/>
        <v>24505500</v>
      </c>
      <c r="G45" s="270"/>
      <c r="H45" s="269"/>
      <c r="I45" s="46"/>
      <c r="J45" s="52"/>
      <c r="W45" s="54"/>
      <c r="Y45" s="25"/>
      <c r="Z45" s="51"/>
    </row>
    <row r="46" spans="2:26">
      <c r="B46" s="37" t="s">
        <v>234</v>
      </c>
      <c r="C46" s="39" t="s">
        <v>219</v>
      </c>
      <c r="D46" s="40">
        <v>184</v>
      </c>
      <c r="E46" s="41">
        <v>46500</v>
      </c>
      <c r="F46" s="47">
        <f t="shared" si="1"/>
        <v>8556000</v>
      </c>
      <c r="G46" s="270"/>
      <c r="H46" s="932">
        <v>45019</v>
      </c>
      <c r="I46" s="928">
        <v>36921000</v>
      </c>
      <c r="J46" s="923" t="s">
        <v>218</v>
      </c>
      <c r="W46" s="54"/>
      <c r="Y46" s="25"/>
      <c r="Z46" s="51"/>
    </row>
    <row r="47" spans="2:26">
      <c r="B47" s="37" t="s">
        <v>234</v>
      </c>
      <c r="C47" s="39" t="s">
        <v>219</v>
      </c>
      <c r="D47" s="40">
        <v>300</v>
      </c>
      <c r="E47" s="41">
        <v>46500</v>
      </c>
      <c r="F47" s="47">
        <f t="shared" si="1"/>
        <v>13950000</v>
      </c>
      <c r="G47" s="270"/>
      <c r="H47" s="932"/>
      <c r="I47" s="928"/>
      <c r="J47" s="923"/>
      <c r="W47" s="54"/>
      <c r="Y47" s="25"/>
      <c r="Z47" s="51"/>
    </row>
    <row r="48" spans="2:26">
      <c r="B48" s="37">
        <v>44959</v>
      </c>
      <c r="C48" s="39" t="s">
        <v>219</v>
      </c>
      <c r="D48" s="40">
        <v>319</v>
      </c>
      <c r="E48" s="41">
        <v>46500</v>
      </c>
      <c r="F48" s="47">
        <f t="shared" si="1"/>
        <v>14833500</v>
      </c>
      <c r="G48" s="270"/>
      <c r="H48" s="933"/>
      <c r="I48" s="928"/>
      <c r="J48" s="924"/>
      <c r="W48" s="54"/>
      <c r="Y48" s="25"/>
      <c r="Z48" s="51"/>
    </row>
    <row r="49" spans="2:26">
      <c r="B49" s="37">
        <v>44959</v>
      </c>
      <c r="C49" s="39" t="s">
        <v>219</v>
      </c>
      <c r="D49" s="40">
        <v>310</v>
      </c>
      <c r="E49" s="41">
        <v>46500</v>
      </c>
      <c r="F49" s="47">
        <f t="shared" si="1"/>
        <v>14415000</v>
      </c>
      <c r="G49" s="270"/>
      <c r="H49" s="932">
        <v>45080</v>
      </c>
      <c r="I49" s="928">
        <v>44258000</v>
      </c>
      <c r="J49" s="923" t="s">
        <v>218</v>
      </c>
      <c r="W49" s="54"/>
      <c r="Y49" s="25"/>
      <c r="Z49" s="51"/>
    </row>
    <row r="50" spans="2:26">
      <c r="B50" s="37">
        <v>44959</v>
      </c>
      <c r="C50" s="39" t="s">
        <v>219</v>
      </c>
      <c r="D50" s="40">
        <v>301</v>
      </c>
      <c r="E50" s="41">
        <v>46500</v>
      </c>
      <c r="F50" s="47">
        <f t="shared" si="1"/>
        <v>13996500</v>
      </c>
      <c r="G50" s="270"/>
      <c r="H50" s="932"/>
      <c r="I50" s="928"/>
      <c r="J50" s="923"/>
      <c r="W50" s="54"/>
      <c r="Y50" s="25"/>
      <c r="Z50" s="51"/>
    </row>
    <row r="51" spans="2:26">
      <c r="B51" s="702">
        <v>45018</v>
      </c>
      <c r="C51" s="39" t="s">
        <v>219</v>
      </c>
      <c r="D51" s="40">
        <v>238</v>
      </c>
      <c r="E51" s="41">
        <f t="shared" ref="E51:E65" si="2">IFERROR(INDEX(daftar,MATCH(C51,nmdaftar,0),2),"-")</f>
        <v>46000</v>
      </c>
      <c r="F51" s="47">
        <f t="shared" si="1"/>
        <v>10948000</v>
      </c>
      <c r="G51" s="270"/>
      <c r="H51" s="932"/>
      <c r="I51" s="928"/>
      <c r="J51" s="923"/>
      <c r="W51" s="54"/>
      <c r="Y51" s="25"/>
      <c r="Z51" s="51"/>
    </row>
    <row r="52" spans="2:26">
      <c r="B52" s="703"/>
      <c r="C52" s="39" t="s">
        <v>222</v>
      </c>
      <c r="D52" s="40">
        <v>170</v>
      </c>
      <c r="E52" s="41">
        <f t="shared" si="2"/>
        <v>14000</v>
      </c>
      <c r="F52" s="47">
        <f t="shared" si="1"/>
        <v>2380000</v>
      </c>
      <c r="G52" s="270"/>
      <c r="H52" s="932"/>
      <c r="I52" s="928"/>
      <c r="J52" s="923"/>
      <c r="W52" s="54"/>
      <c r="Y52" s="25"/>
      <c r="Z52" s="51"/>
    </row>
    <row r="53" spans="2:26">
      <c r="B53" s="704"/>
      <c r="C53" s="39" t="s">
        <v>224</v>
      </c>
      <c r="D53" s="40">
        <v>150</v>
      </c>
      <c r="E53" s="41">
        <f t="shared" si="2"/>
        <v>14000</v>
      </c>
      <c r="F53" s="47">
        <f t="shared" si="1"/>
        <v>2100000</v>
      </c>
      <c r="G53" s="270"/>
      <c r="H53" s="933"/>
      <c r="I53" s="928"/>
      <c r="J53" s="924"/>
      <c r="W53" s="54"/>
      <c r="Y53" s="25"/>
      <c r="Z53" s="51"/>
    </row>
    <row r="54" spans="2:26">
      <c r="B54" s="37">
        <v>45079</v>
      </c>
      <c r="C54" s="39" t="s">
        <v>219</v>
      </c>
      <c r="D54" s="40">
        <v>240</v>
      </c>
      <c r="E54" s="41">
        <f t="shared" si="2"/>
        <v>46000</v>
      </c>
      <c r="F54" s="47">
        <f t="shared" si="1"/>
        <v>11040000</v>
      </c>
      <c r="G54" s="270"/>
      <c r="H54" s="932">
        <v>45141</v>
      </c>
      <c r="I54" s="928">
        <v>70782500</v>
      </c>
      <c r="J54" s="923" t="s">
        <v>218</v>
      </c>
      <c r="W54" s="54"/>
      <c r="Y54" s="25"/>
      <c r="Z54" s="51"/>
    </row>
    <row r="55" spans="2:26">
      <c r="B55" s="37">
        <v>45079</v>
      </c>
      <c r="C55" s="39" t="s">
        <v>219</v>
      </c>
      <c r="D55" s="40">
        <v>242</v>
      </c>
      <c r="E55" s="41">
        <f t="shared" si="2"/>
        <v>46000</v>
      </c>
      <c r="F55" s="47">
        <f t="shared" ref="F55:F60" si="3">IF(E55="-","-",D55*E55)</f>
        <v>11132000</v>
      </c>
      <c r="G55" s="270"/>
      <c r="H55" s="932"/>
      <c r="I55" s="928"/>
      <c r="J55" s="923"/>
      <c r="W55" s="54"/>
      <c r="Y55" s="25"/>
      <c r="Z55" s="51"/>
    </row>
    <row r="56" spans="2:26">
      <c r="B56" s="702">
        <v>45079</v>
      </c>
      <c r="C56" s="39" t="s">
        <v>219</v>
      </c>
      <c r="D56" s="40">
        <v>265</v>
      </c>
      <c r="E56" s="41">
        <f t="shared" si="2"/>
        <v>46000</v>
      </c>
      <c r="F56" s="47">
        <f t="shared" si="3"/>
        <v>12190000</v>
      </c>
      <c r="G56" s="270"/>
      <c r="H56" s="932"/>
      <c r="I56" s="928"/>
      <c r="J56" s="923"/>
      <c r="W56" s="54"/>
      <c r="Y56" s="25"/>
      <c r="Z56" s="51"/>
    </row>
    <row r="57" spans="2:26">
      <c r="B57" s="704"/>
      <c r="C57" s="39" t="s">
        <v>226</v>
      </c>
      <c r="D57" s="40">
        <v>115</v>
      </c>
      <c r="E57" s="41">
        <f t="shared" si="2"/>
        <v>95500</v>
      </c>
      <c r="F57" s="47">
        <f t="shared" si="3"/>
        <v>10982500</v>
      </c>
      <c r="G57" s="270"/>
      <c r="H57" s="932"/>
      <c r="I57" s="928"/>
      <c r="J57" s="923"/>
      <c r="W57" s="54"/>
      <c r="Y57" s="25"/>
      <c r="Z57" s="51"/>
    </row>
    <row r="58" spans="2:26">
      <c r="B58" s="37">
        <v>45109</v>
      </c>
      <c r="C58" s="39" t="s">
        <v>219</v>
      </c>
      <c r="D58" s="40">
        <v>294</v>
      </c>
      <c r="E58" s="41">
        <f t="shared" si="2"/>
        <v>46000</v>
      </c>
      <c r="F58" s="47">
        <f t="shared" si="3"/>
        <v>13524000</v>
      </c>
      <c r="G58" s="270"/>
      <c r="H58" s="932"/>
      <c r="I58" s="928"/>
      <c r="J58" s="923"/>
      <c r="W58" s="54"/>
      <c r="Y58" s="25"/>
      <c r="Z58" s="51"/>
    </row>
    <row r="59" spans="2:26">
      <c r="B59" s="37">
        <v>45109</v>
      </c>
      <c r="C59" s="39" t="s">
        <v>219</v>
      </c>
      <c r="D59" s="40">
        <v>259</v>
      </c>
      <c r="E59" s="41">
        <f t="shared" si="2"/>
        <v>46000</v>
      </c>
      <c r="F59" s="47">
        <f t="shared" si="3"/>
        <v>11914000</v>
      </c>
      <c r="G59" s="270"/>
      <c r="H59" s="933"/>
      <c r="I59" s="928"/>
      <c r="J59" s="924"/>
      <c r="W59" s="54"/>
      <c r="Y59" s="25"/>
      <c r="Z59" s="51"/>
    </row>
    <row r="60" spans="2:26">
      <c r="B60" s="37">
        <v>45109</v>
      </c>
      <c r="C60" s="39" t="s">
        <v>219</v>
      </c>
      <c r="D60" s="40">
        <v>313</v>
      </c>
      <c r="E60" s="41">
        <f t="shared" si="2"/>
        <v>46000</v>
      </c>
      <c r="F60" s="47">
        <f t="shared" si="3"/>
        <v>14398000</v>
      </c>
      <c r="G60" s="270"/>
      <c r="H60" s="934" t="s">
        <v>253</v>
      </c>
      <c r="I60" s="917">
        <v>36478000</v>
      </c>
      <c r="J60" s="732" t="s">
        <v>218</v>
      </c>
      <c r="W60" s="54"/>
      <c r="Y60" s="25"/>
      <c r="Z60" s="51"/>
    </row>
    <row r="61" spans="2:26">
      <c r="B61" s="37">
        <v>45140</v>
      </c>
      <c r="C61" s="39" t="s">
        <v>219</v>
      </c>
      <c r="D61" s="40">
        <v>240</v>
      </c>
      <c r="E61" s="41">
        <f t="shared" si="2"/>
        <v>46000</v>
      </c>
      <c r="F61" s="47">
        <f t="shared" ref="F61:F66" si="4">IF(E61="-","-",D61*E61)</f>
        <v>11040000</v>
      </c>
      <c r="G61" s="270"/>
      <c r="H61" s="935"/>
      <c r="I61" s="918"/>
      <c r="J61" s="733"/>
      <c r="W61" s="54"/>
      <c r="Y61" s="25"/>
      <c r="Z61" s="51"/>
    </row>
    <row r="62" spans="2:26">
      <c r="B62" s="37">
        <v>45140</v>
      </c>
      <c r="C62" s="39" t="s">
        <v>219</v>
      </c>
      <c r="D62" s="40">
        <v>240</v>
      </c>
      <c r="E62" s="41">
        <f t="shared" si="2"/>
        <v>46000</v>
      </c>
      <c r="F62" s="47">
        <f t="shared" si="4"/>
        <v>11040000</v>
      </c>
      <c r="G62" s="270"/>
      <c r="H62" s="936"/>
      <c r="I62" s="919"/>
      <c r="J62" s="941"/>
      <c r="W62" s="54"/>
      <c r="Y62" s="25"/>
      <c r="Z62" s="51"/>
    </row>
    <row r="63" spans="2:26">
      <c r="B63" s="37">
        <v>45171</v>
      </c>
      <c r="C63" s="39" t="s">
        <v>219</v>
      </c>
      <c r="D63" s="40">
        <v>261</v>
      </c>
      <c r="E63" s="41">
        <f t="shared" si="2"/>
        <v>46000</v>
      </c>
      <c r="F63" s="47">
        <f t="shared" si="4"/>
        <v>12006000</v>
      </c>
      <c r="G63" s="270"/>
      <c r="H63" s="905" t="s">
        <v>254</v>
      </c>
      <c r="I63" s="917">
        <v>23506000</v>
      </c>
      <c r="J63" s="732" t="s">
        <v>218</v>
      </c>
      <c r="W63" s="54"/>
      <c r="Y63" s="25"/>
      <c r="Z63" s="51"/>
    </row>
    <row r="64" spans="2:26">
      <c r="B64" s="37">
        <v>45171</v>
      </c>
      <c r="C64" s="39" t="s">
        <v>219</v>
      </c>
      <c r="D64" s="40">
        <v>250</v>
      </c>
      <c r="E64" s="41">
        <f t="shared" si="2"/>
        <v>46000</v>
      </c>
      <c r="F64" s="47">
        <f t="shared" si="4"/>
        <v>11500000</v>
      </c>
      <c r="G64" s="270"/>
      <c r="H64" s="929"/>
      <c r="I64" s="919"/>
      <c r="J64" s="941"/>
      <c r="W64" s="54"/>
      <c r="Y64" s="25"/>
      <c r="Z64" s="51"/>
    </row>
    <row r="65" spans="2:26">
      <c r="B65" s="37">
        <v>45171</v>
      </c>
      <c r="C65" s="39" t="s">
        <v>219</v>
      </c>
      <c r="D65" s="40">
        <v>252</v>
      </c>
      <c r="E65" s="41">
        <f t="shared" si="2"/>
        <v>46000</v>
      </c>
      <c r="F65" s="47">
        <f t="shared" si="4"/>
        <v>11592000</v>
      </c>
      <c r="G65" s="270"/>
      <c r="H65" s="905" t="s">
        <v>255</v>
      </c>
      <c r="I65" s="917">
        <v>34929000</v>
      </c>
      <c r="J65" s="732" t="s">
        <v>218</v>
      </c>
      <c r="W65" s="54"/>
      <c r="Y65" s="25"/>
      <c r="Z65" s="51"/>
    </row>
    <row r="66" spans="2:26">
      <c r="B66" s="37" t="s">
        <v>256</v>
      </c>
      <c r="C66" s="39" t="s">
        <v>219</v>
      </c>
      <c r="D66" s="40">
        <v>250</v>
      </c>
      <c r="E66" s="41">
        <v>45000</v>
      </c>
      <c r="F66" s="47">
        <f t="shared" si="4"/>
        <v>11250000</v>
      </c>
      <c r="G66" s="270"/>
      <c r="H66" s="906"/>
      <c r="I66" s="918"/>
      <c r="J66" s="733"/>
      <c r="W66" s="54"/>
      <c r="Y66" s="25"/>
      <c r="Z66" s="51"/>
    </row>
    <row r="67" spans="2:26">
      <c r="B67" s="702" t="s">
        <v>256</v>
      </c>
      <c r="C67" s="39" t="s">
        <v>219</v>
      </c>
      <c r="D67" s="40">
        <v>180</v>
      </c>
      <c r="E67" s="41">
        <f t="shared" ref="E67:E98" si="5">IFERROR(INDEX(daftar,MATCH(C67,nmdaftar,0),2),"-")</f>
        <v>46000</v>
      </c>
      <c r="F67" s="47">
        <f t="shared" ref="F67:F94" si="6">IF(E67="-","-",D67*E67)</f>
        <v>8280000</v>
      </c>
      <c r="G67" s="270"/>
      <c r="H67" s="906"/>
      <c r="I67" s="918"/>
      <c r="J67" s="733"/>
      <c r="W67" s="54"/>
      <c r="Y67" s="25"/>
      <c r="Z67" s="51"/>
    </row>
    <row r="68" spans="2:26">
      <c r="B68" s="704"/>
      <c r="C68" s="39" t="s">
        <v>220</v>
      </c>
      <c r="D68" s="40">
        <v>141</v>
      </c>
      <c r="E68" s="41">
        <f t="shared" si="5"/>
        <v>27000</v>
      </c>
      <c r="F68" s="47">
        <f t="shared" si="6"/>
        <v>3807000</v>
      </c>
      <c r="G68" s="270"/>
      <c r="H68" s="929"/>
      <c r="I68" s="919"/>
      <c r="J68" s="941"/>
      <c r="W68" s="54"/>
      <c r="Y68" s="25"/>
      <c r="Z68" s="51"/>
    </row>
    <row r="69" spans="2:26">
      <c r="B69" s="37" t="s">
        <v>256</v>
      </c>
      <c r="C69" s="39" t="s">
        <v>219</v>
      </c>
      <c r="D69" s="40">
        <v>240</v>
      </c>
      <c r="E69" s="41">
        <f t="shared" si="5"/>
        <v>46000</v>
      </c>
      <c r="F69" s="47">
        <f t="shared" si="6"/>
        <v>11040000</v>
      </c>
      <c r="G69" s="270"/>
      <c r="H69" s="905" t="s">
        <v>257</v>
      </c>
      <c r="I69" s="917">
        <v>39146000</v>
      </c>
      <c r="J69" s="732" t="s">
        <v>218</v>
      </c>
      <c r="W69" s="54"/>
      <c r="Y69" s="25"/>
      <c r="Z69" s="51"/>
    </row>
    <row r="70" spans="2:26">
      <c r="B70" s="37" t="s">
        <v>242</v>
      </c>
      <c r="C70" s="39" t="s">
        <v>219</v>
      </c>
      <c r="D70" s="40">
        <v>331</v>
      </c>
      <c r="E70" s="41">
        <f t="shared" si="5"/>
        <v>46000</v>
      </c>
      <c r="F70" s="47">
        <f t="shared" si="6"/>
        <v>15226000</v>
      </c>
      <c r="G70" s="270"/>
      <c r="H70" s="906"/>
      <c r="I70" s="918"/>
      <c r="J70" s="733"/>
      <c r="W70" s="54"/>
      <c r="Y70" s="25"/>
      <c r="Z70" s="51"/>
    </row>
    <row r="71" spans="2:26">
      <c r="B71" s="37" t="s">
        <v>242</v>
      </c>
      <c r="C71" s="39" t="s">
        <v>219</v>
      </c>
      <c r="D71" s="40">
        <v>280</v>
      </c>
      <c r="E71" s="41">
        <f t="shared" si="5"/>
        <v>46000</v>
      </c>
      <c r="F71" s="47">
        <f t="shared" si="6"/>
        <v>12880000</v>
      </c>
      <c r="G71" s="270"/>
      <c r="H71" s="929"/>
      <c r="I71" s="919"/>
      <c r="J71" s="941"/>
      <c r="W71" s="54"/>
      <c r="Y71" s="25"/>
      <c r="Z71" s="51"/>
    </row>
    <row r="72" spans="2:26">
      <c r="B72" s="37" t="s">
        <v>242</v>
      </c>
      <c r="C72" s="39" t="s">
        <v>219</v>
      </c>
      <c r="D72" s="40">
        <v>270</v>
      </c>
      <c r="E72" s="41">
        <f t="shared" si="5"/>
        <v>46000</v>
      </c>
      <c r="F72" s="47">
        <f t="shared" si="6"/>
        <v>12420000</v>
      </c>
      <c r="G72" s="270"/>
      <c r="H72" s="905" t="s">
        <v>258</v>
      </c>
      <c r="I72" s="917">
        <v>38493000</v>
      </c>
      <c r="J72" s="732" t="s">
        <v>218</v>
      </c>
      <c r="W72" s="54"/>
      <c r="Y72" s="25"/>
      <c r="Z72" s="51"/>
    </row>
    <row r="73" spans="2:26">
      <c r="B73" s="37" t="s">
        <v>245</v>
      </c>
      <c r="C73" s="39" t="s">
        <v>226</v>
      </c>
      <c r="D73" s="40">
        <v>142</v>
      </c>
      <c r="E73" s="41">
        <f t="shared" si="5"/>
        <v>95500</v>
      </c>
      <c r="F73" s="47">
        <f t="shared" si="6"/>
        <v>13561000</v>
      </c>
      <c r="G73" s="270"/>
      <c r="H73" s="906"/>
      <c r="I73" s="918"/>
      <c r="J73" s="733"/>
      <c r="W73" s="54"/>
      <c r="Y73" s="25"/>
      <c r="Z73" s="51"/>
    </row>
    <row r="74" spans="2:26">
      <c r="B74" s="37" t="s">
        <v>245</v>
      </c>
      <c r="C74" s="39" t="s">
        <v>219</v>
      </c>
      <c r="D74" s="40">
        <v>272</v>
      </c>
      <c r="E74" s="41">
        <f t="shared" si="5"/>
        <v>46000</v>
      </c>
      <c r="F74" s="47">
        <f t="shared" si="6"/>
        <v>12512000</v>
      </c>
      <c r="G74" s="270"/>
      <c r="H74" s="929"/>
      <c r="I74" s="919"/>
      <c r="J74" s="941"/>
      <c r="W74" s="54"/>
      <c r="Y74" s="25"/>
      <c r="Z74" s="51"/>
    </row>
    <row r="75" spans="2:26">
      <c r="B75" s="702" t="s">
        <v>259</v>
      </c>
      <c r="C75" s="39" t="s">
        <v>222</v>
      </c>
      <c r="D75" s="40">
        <v>200</v>
      </c>
      <c r="E75" s="41">
        <f t="shared" si="5"/>
        <v>14000</v>
      </c>
      <c r="F75" s="47">
        <f t="shared" si="6"/>
        <v>2800000</v>
      </c>
      <c r="G75" s="270"/>
      <c r="H75" s="905" t="s">
        <v>260</v>
      </c>
      <c r="I75" s="917">
        <v>43040000</v>
      </c>
      <c r="J75" s="732" t="s">
        <v>218</v>
      </c>
      <c r="W75" s="54"/>
      <c r="Y75" s="25"/>
      <c r="Z75" s="51"/>
    </row>
    <row r="76" spans="2:26">
      <c r="B76" s="703"/>
      <c r="C76" s="39" t="s">
        <v>224</v>
      </c>
      <c r="D76" s="40">
        <v>100</v>
      </c>
      <c r="E76" s="41">
        <f t="shared" si="5"/>
        <v>14000</v>
      </c>
      <c r="F76" s="47">
        <f t="shared" si="6"/>
        <v>1400000</v>
      </c>
      <c r="G76" s="270"/>
      <c r="H76" s="906"/>
      <c r="I76" s="918"/>
      <c r="J76" s="733"/>
      <c r="W76" s="54"/>
      <c r="Y76" s="25"/>
      <c r="Z76" s="51"/>
    </row>
    <row r="77" spans="2:26">
      <c r="B77" s="704"/>
      <c r="C77" s="39" t="s">
        <v>219</v>
      </c>
      <c r="D77" s="40">
        <v>203</v>
      </c>
      <c r="E77" s="41">
        <f t="shared" si="5"/>
        <v>46000</v>
      </c>
      <c r="F77" s="47">
        <f t="shared" si="6"/>
        <v>9338000</v>
      </c>
      <c r="G77" s="270"/>
      <c r="H77" s="906"/>
      <c r="I77" s="918"/>
      <c r="J77" s="733"/>
      <c r="W77" s="54"/>
      <c r="Y77" s="25"/>
      <c r="Z77" s="51"/>
    </row>
    <row r="78" spans="2:26">
      <c r="B78" s="702" t="s">
        <v>259</v>
      </c>
      <c r="C78" s="39" t="s">
        <v>219</v>
      </c>
      <c r="D78" s="40">
        <v>312</v>
      </c>
      <c r="E78" s="41">
        <f t="shared" si="5"/>
        <v>46000</v>
      </c>
      <c r="F78" s="47">
        <f t="shared" si="6"/>
        <v>14352000</v>
      </c>
      <c r="G78" s="270"/>
      <c r="H78" s="906"/>
      <c r="I78" s="918"/>
      <c r="J78" s="733"/>
      <c r="W78" s="54"/>
      <c r="Y78" s="25"/>
      <c r="Z78" s="51"/>
    </row>
    <row r="79" spans="2:26">
      <c r="B79" s="704"/>
      <c r="C79" s="39" t="s">
        <v>220</v>
      </c>
      <c r="D79" s="40">
        <v>50</v>
      </c>
      <c r="E79" s="41">
        <f t="shared" si="5"/>
        <v>27000</v>
      </c>
      <c r="F79" s="47">
        <f t="shared" si="6"/>
        <v>1350000</v>
      </c>
      <c r="G79" s="270"/>
      <c r="H79" s="906"/>
      <c r="I79" s="918"/>
      <c r="J79" s="733"/>
      <c r="W79" s="54"/>
      <c r="Y79" s="25"/>
      <c r="Z79" s="51"/>
    </row>
    <row r="80" spans="2:26">
      <c r="B80" s="37" t="s">
        <v>261</v>
      </c>
      <c r="C80" s="39" t="s">
        <v>219</v>
      </c>
      <c r="D80" s="40">
        <v>300</v>
      </c>
      <c r="E80" s="41">
        <f t="shared" si="5"/>
        <v>46000</v>
      </c>
      <c r="F80" s="47">
        <f t="shared" si="6"/>
        <v>13800000</v>
      </c>
      <c r="G80" s="270"/>
      <c r="H80" s="929"/>
      <c r="I80" s="919"/>
      <c r="J80" s="941"/>
      <c r="W80" s="54"/>
      <c r="Y80" s="25"/>
      <c r="Z80" s="51"/>
    </row>
    <row r="81" spans="2:26">
      <c r="B81" s="702" t="s">
        <v>261</v>
      </c>
      <c r="C81" s="39" t="s">
        <v>220</v>
      </c>
      <c r="D81" s="40">
        <v>264</v>
      </c>
      <c r="E81" s="41">
        <f t="shared" si="5"/>
        <v>27000</v>
      </c>
      <c r="F81" s="47">
        <f t="shared" si="6"/>
        <v>7128000</v>
      </c>
      <c r="G81" s="270"/>
      <c r="H81" s="905" t="s">
        <v>262</v>
      </c>
      <c r="I81" s="917">
        <v>70792000</v>
      </c>
      <c r="J81" s="732" t="s">
        <v>218</v>
      </c>
      <c r="W81" s="54"/>
      <c r="Y81" s="25"/>
      <c r="Z81" s="51"/>
    </row>
    <row r="82" spans="2:26">
      <c r="B82" s="704"/>
      <c r="C82" s="39" t="s">
        <v>219</v>
      </c>
      <c r="D82" s="40">
        <v>181</v>
      </c>
      <c r="E82" s="41">
        <f t="shared" si="5"/>
        <v>46000</v>
      </c>
      <c r="F82" s="47">
        <f t="shared" si="6"/>
        <v>8326000</v>
      </c>
      <c r="G82" s="270"/>
      <c r="H82" s="906"/>
      <c r="I82" s="918"/>
      <c r="J82" s="733"/>
      <c r="W82" s="54"/>
      <c r="Y82" s="25"/>
      <c r="Z82" s="51"/>
    </row>
    <row r="83" spans="2:26">
      <c r="B83" s="44" t="s">
        <v>263</v>
      </c>
      <c r="C83" s="39" t="s">
        <v>219</v>
      </c>
      <c r="D83" s="40">
        <v>305</v>
      </c>
      <c r="E83" s="41">
        <f t="shared" si="5"/>
        <v>46000</v>
      </c>
      <c r="F83" s="47">
        <f t="shared" si="6"/>
        <v>14030000</v>
      </c>
      <c r="G83" s="270"/>
      <c r="H83" s="906"/>
      <c r="I83" s="918"/>
      <c r="J83" s="733"/>
      <c r="W83" s="54"/>
      <c r="Y83" s="25"/>
      <c r="Z83" s="51"/>
    </row>
    <row r="84" spans="2:26">
      <c r="B84" s="44" t="s">
        <v>263</v>
      </c>
      <c r="C84" s="39" t="s">
        <v>219</v>
      </c>
      <c r="D84" s="40">
        <v>276</v>
      </c>
      <c r="E84" s="41">
        <f t="shared" si="5"/>
        <v>46000</v>
      </c>
      <c r="F84" s="47">
        <f t="shared" si="6"/>
        <v>12696000</v>
      </c>
      <c r="G84" s="270"/>
      <c r="H84" s="906"/>
      <c r="I84" s="918"/>
      <c r="J84" s="733"/>
      <c r="W84" s="54"/>
      <c r="Y84" s="25"/>
      <c r="Z84" s="51"/>
    </row>
    <row r="85" spans="2:26">
      <c r="B85" s="44">
        <v>44929</v>
      </c>
      <c r="C85" s="39" t="s">
        <v>219</v>
      </c>
      <c r="D85" s="40">
        <v>320</v>
      </c>
      <c r="E85" s="41">
        <f t="shared" si="5"/>
        <v>46000</v>
      </c>
      <c r="F85" s="47">
        <f t="shared" si="6"/>
        <v>14720000</v>
      </c>
      <c r="G85" s="270"/>
      <c r="H85" s="906"/>
      <c r="I85" s="918"/>
      <c r="J85" s="733"/>
      <c r="W85" s="54"/>
      <c r="Y85" s="25"/>
      <c r="Z85" s="51"/>
    </row>
    <row r="86" spans="2:26">
      <c r="B86" s="44">
        <v>44960</v>
      </c>
      <c r="C86" s="39" t="s">
        <v>219</v>
      </c>
      <c r="D86" s="40">
        <v>302</v>
      </c>
      <c r="E86" s="41">
        <f t="shared" si="5"/>
        <v>46000</v>
      </c>
      <c r="F86" s="47">
        <f t="shared" si="6"/>
        <v>13892000</v>
      </c>
      <c r="G86" s="270"/>
      <c r="H86" s="929"/>
      <c r="I86" s="919"/>
      <c r="J86" s="941"/>
      <c r="W86" s="54"/>
      <c r="Y86" s="25"/>
      <c r="Z86" s="51"/>
    </row>
    <row r="87" spans="2:26">
      <c r="B87" s="44">
        <v>44988</v>
      </c>
      <c r="C87" s="39" t="s">
        <v>219</v>
      </c>
      <c r="D87" s="40">
        <v>320</v>
      </c>
      <c r="E87" s="41">
        <f t="shared" si="5"/>
        <v>46000</v>
      </c>
      <c r="F87" s="47">
        <f t="shared" si="6"/>
        <v>14720000</v>
      </c>
      <c r="G87" s="270"/>
      <c r="H87" s="905" t="s">
        <v>264</v>
      </c>
      <c r="I87" s="917">
        <v>46212000</v>
      </c>
      <c r="J87" s="732" t="s">
        <v>218</v>
      </c>
      <c r="W87" s="54"/>
      <c r="Y87" s="25"/>
      <c r="Z87" s="51"/>
    </row>
    <row r="88" spans="2:26">
      <c r="B88" s="44">
        <v>45019</v>
      </c>
      <c r="C88" s="39" t="s">
        <v>219</v>
      </c>
      <c r="D88" s="40">
        <v>329</v>
      </c>
      <c r="E88" s="41">
        <f t="shared" si="5"/>
        <v>46000</v>
      </c>
      <c r="F88" s="47">
        <f t="shared" si="6"/>
        <v>15134000</v>
      </c>
      <c r="G88" s="270"/>
      <c r="H88" s="906"/>
      <c r="I88" s="918"/>
      <c r="J88" s="733"/>
      <c r="W88" s="54"/>
      <c r="Y88" s="25"/>
      <c r="Z88" s="51"/>
    </row>
    <row r="89" spans="2:26">
      <c r="B89" s="703">
        <v>45019</v>
      </c>
      <c r="C89" s="39" t="s">
        <v>219</v>
      </c>
      <c r="D89" s="40">
        <v>173</v>
      </c>
      <c r="E89" s="41">
        <f t="shared" si="5"/>
        <v>46000</v>
      </c>
      <c r="F89" s="47">
        <f t="shared" si="6"/>
        <v>7958000</v>
      </c>
      <c r="G89" s="270"/>
      <c r="H89" s="906"/>
      <c r="I89" s="918"/>
      <c r="J89" s="733"/>
      <c r="W89" s="54"/>
      <c r="Y89" s="25"/>
      <c r="Z89" s="51"/>
    </row>
    <row r="90" spans="2:26">
      <c r="B90" s="703"/>
      <c r="C90" s="39" t="s">
        <v>222</v>
      </c>
      <c r="D90" s="40">
        <v>450</v>
      </c>
      <c r="E90" s="41">
        <f t="shared" si="5"/>
        <v>14000</v>
      </c>
      <c r="F90" s="47">
        <f t="shared" si="6"/>
        <v>6300000</v>
      </c>
      <c r="G90" s="270"/>
      <c r="H90" s="906"/>
      <c r="I90" s="918"/>
      <c r="J90" s="733"/>
      <c r="W90" s="54"/>
      <c r="Y90" s="25"/>
      <c r="Z90" s="51"/>
    </row>
    <row r="91" spans="2:26">
      <c r="B91" s="704"/>
      <c r="C91" s="39" t="s">
        <v>224</v>
      </c>
      <c r="D91" s="40">
        <v>150</v>
      </c>
      <c r="E91" s="41">
        <f t="shared" si="5"/>
        <v>14000</v>
      </c>
      <c r="F91" s="47">
        <f t="shared" si="6"/>
        <v>2100000</v>
      </c>
      <c r="G91" s="270"/>
      <c r="H91" s="929"/>
      <c r="I91" s="919"/>
      <c r="J91" s="941"/>
      <c r="W91" s="54"/>
      <c r="Y91" s="25"/>
      <c r="Z91" s="51"/>
    </row>
    <row r="92" spans="2:26">
      <c r="B92" s="37">
        <v>45019</v>
      </c>
      <c r="C92" s="39" t="s">
        <v>219</v>
      </c>
      <c r="D92" s="40">
        <v>254</v>
      </c>
      <c r="E92" s="41">
        <f t="shared" si="5"/>
        <v>46000</v>
      </c>
      <c r="F92" s="47">
        <f t="shared" si="6"/>
        <v>11684000</v>
      </c>
      <c r="G92" s="270"/>
      <c r="H92" s="905" t="s">
        <v>265</v>
      </c>
      <c r="I92" s="917">
        <v>71179000</v>
      </c>
      <c r="J92" s="732" t="s">
        <v>218</v>
      </c>
      <c r="W92" s="54"/>
      <c r="Y92" s="25"/>
      <c r="Z92" s="51"/>
    </row>
    <row r="93" spans="2:26">
      <c r="B93" s="37">
        <v>45080</v>
      </c>
      <c r="C93" s="39" t="s">
        <v>219</v>
      </c>
      <c r="D93" s="40">
        <v>300</v>
      </c>
      <c r="E93" s="41">
        <f t="shared" si="5"/>
        <v>46000</v>
      </c>
      <c r="F93" s="47">
        <f t="shared" si="6"/>
        <v>13800000</v>
      </c>
      <c r="G93" s="270"/>
      <c r="H93" s="906"/>
      <c r="I93" s="918"/>
      <c r="J93" s="733"/>
      <c r="W93" s="54"/>
      <c r="Y93" s="25"/>
      <c r="Z93" s="51"/>
    </row>
    <row r="94" spans="2:26">
      <c r="B94" s="37">
        <v>45080</v>
      </c>
      <c r="C94" s="39" t="s">
        <v>219</v>
      </c>
      <c r="D94" s="40">
        <v>309</v>
      </c>
      <c r="E94" s="41">
        <f t="shared" si="5"/>
        <v>46000</v>
      </c>
      <c r="F94" s="47">
        <f t="shared" si="6"/>
        <v>14214000</v>
      </c>
      <c r="G94" s="270"/>
      <c r="H94" s="906"/>
      <c r="I94" s="918"/>
      <c r="J94" s="733"/>
      <c r="W94" s="54"/>
      <c r="Y94" s="25"/>
      <c r="Z94" s="51"/>
    </row>
    <row r="95" spans="2:26">
      <c r="B95" s="702">
        <v>45110</v>
      </c>
      <c r="C95" s="39" t="s">
        <v>219</v>
      </c>
      <c r="D95" s="40">
        <v>228</v>
      </c>
      <c r="E95" s="41">
        <f t="shared" si="5"/>
        <v>46000</v>
      </c>
      <c r="F95" s="47">
        <f t="shared" ref="F95:F106" si="7">IF(E95="-","-",D95*E95)</f>
        <v>10488000</v>
      </c>
      <c r="G95" s="270"/>
      <c r="H95" s="906"/>
      <c r="I95" s="918"/>
      <c r="J95" s="733"/>
      <c r="W95" s="54"/>
      <c r="Y95" s="25"/>
      <c r="Z95" s="51"/>
    </row>
    <row r="96" spans="2:26">
      <c r="B96" s="703"/>
      <c r="C96" s="39" t="s">
        <v>222</v>
      </c>
      <c r="D96" s="40">
        <v>300</v>
      </c>
      <c r="E96" s="41">
        <f t="shared" si="5"/>
        <v>14000</v>
      </c>
      <c r="F96" s="47">
        <f t="shared" si="7"/>
        <v>4200000</v>
      </c>
      <c r="G96" s="270"/>
      <c r="H96" s="906"/>
      <c r="I96" s="918"/>
      <c r="J96" s="733"/>
      <c r="W96" s="54"/>
      <c r="Y96" s="25"/>
      <c r="Z96" s="51"/>
    </row>
    <row r="97" spans="2:26">
      <c r="B97" s="704"/>
      <c r="C97" s="39" t="s">
        <v>224</v>
      </c>
      <c r="D97" s="40">
        <v>200</v>
      </c>
      <c r="E97" s="41">
        <f t="shared" si="5"/>
        <v>14000</v>
      </c>
      <c r="F97" s="47">
        <f t="shared" si="7"/>
        <v>2800000</v>
      </c>
      <c r="G97" s="270"/>
      <c r="H97" s="906"/>
      <c r="I97" s="918"/>
      <c r="J97" s="733"/>
      <c r="W97" s="54"/>
      <c r="Y97" s="25"/>
      <c r="Z97" s="51"/>
    </row>
    <row r="98" spans="2:26">
      <c r="B98" s="702">
        <v>45110</v>
      </c>
      <c r="C98" s="39" t="s">
        <v>219</v>
      </c>
      <c r="D98" s="40">
        <v>217</v>
      </c>
      <c r="E98" s="41">
        <f t="shared" si="5"/>
        <v>46000</v>
      </c>
      <c r="F98" s="47">
        <f t="shared" si="7"/>
        <v>9982000</v>
      </c>
      <c r="G98" s="270"/>
      <c r="H98" s="906"/>
      <c r="I98" s="918"/>
      <c r="J98" s="733"/>
      <c r="W98" s="54"/>
      <c r="Y98" s="25"/>
      <c r="Z98" s="51"/>
    </row>
    <row r="99" spans="2:26">
      <c r="B99" s="704"/>
      <c r="C99" s="39" t="s">
        <v>226</v>
      </c>
      <c r="D99" s="40">
        <v>42</v>
      </c>
      <c r="E99" s="41">
        <f t="shared" ref="E99:E130" si="8">IFERROR(INDEX(daftar,MATCH(C99,nmdaftar,0),2),"-")</f>
        <v>95500</v>
      </c>
      <c r="F99" s="47">
        <f t="shared" si="7"/>
        <v>4011000</v>
      </c>
      <c r="G99" s="270"/>
      <c r="H99" s="929"/>
      <c r="I99" s="919"/>
      <c r="J99" s="941"/>
      <c r="W99" s="54"/>
      <c r="Y99" s="25"/>
      <c r="Z99" s="51"/>
    </row>
    <row r="100" spans="2:26">
      <c r="B100" s="37">
        <v>45110</v>
      </c>
      <c r="C100" s="39" t="s">
        <v>219</v>
      </c>
      <c r="D100" s="40">
        <v>331</v>
      </c>
      <c r="E100" s="41">
        <f t="shared" si="8"/>
        <v>46000</v>
      </c>
      <c r="F100" s="47">
        <f t="shared" si="7"/>
        <v>15226000</v>
      </c>
      <c r="G100" s="270"/>
      <c r="H100" s="905" t="s">
        <v>266</v>
      </c>
      <c r="I100" s="917">
        <v>71342000</v>
      </c>
      <c r="J100" s="732" t="s">
        <v>218</v>
      </c>
      <c r="W100" s="54"/>
      <c r="Y100" s="25"/>
      <c r="Z100" s="51"/>
    </row>
    <row r="101" spans="2:26">
      <c r="B101" s="37">
        <v>45172</v>
      </c>
      <c r="C101" s="39" t="s">
        <v>219</v>
      </c>
      <c r="D101" s="40">
        <v>290</v>
      </c>
      <c r="E101" s="41">
        <f t="shared" si="8"/>
        <v>46000</v>
      </c>
      <c r="F101" s="47">
        <f t="shared" si="7"/>
        <v>13340000</v>
      </c>
      <c r="G101" s="270"/>
      <c r="H101" s="906"/>
      <c r="I101" s="918"/>
      <c r="J101" s="733"/>
      <c r="W101" s="54"/>
      <c r="Y101" s="25"/>
      <c r="Z101" s="51"/>
    </row>
    <row r="102" spans="2:26">
      <c r="B102" s="37">
        <v>45172</v>
      </c>
      <c r="C102" s="39" t="s">
        <v>219</v>
      </c>
      <c r="D102" s="40">
        <v>282</v>
      </c>
      <c r="E102" s="41">
        <f t="shared" si="8"/>
        <v>46000</v>
      </c>
      <c r="F102" s="47">
        <f t="shared" si="7"/>
        <v>12972000</v>
      </c>
      <c r="G102" s="270"/>
      <c r="H102" s="906"/>
      <c r="I102" s="918"/>
      <c r="J102" s="733"/>
      <c r="W102" s="54"/>
      <c r="Y102" s="25"/>
      <c r="Z102" s="51"/>
    </row>
    <row r="103" spans="2:26">
      <c r="B103" s="702" t="s">
        <v>253</v>
      </c>
      <c r="C103" s="39" t="s">
        <v>219</v>
      </c>
      <c r="D103" s="40">
        <v>419</v>
      </c>
      <c r="E103" s="41">
        <f t="shared" si="8"/>
        <v>46000</v>
      </c>
      <c r="F103" s="47">
        <f t="shared" si="7"/>
        <v>19274000</v>
      </c>
      <c r="G103" s="270"/>
      <c r="H103" s="906"/>
      <c r="I103" s="918"/>
      <c r="J103" s="733"/>
      <c r="W103" s="54"/>
      <c r="Y103" s="25"/>
      <c r="Z103" s="51"/>
    </row>
    <row r="104" spans="2:26">
      <c r="B104" s="704"/>
      <c r="C104" s="39" t="s">
        <v>220</v>
      </c>
      <c r="D104" s="40">
        <v>390</v>
      </c>
      <c r="E104" s="41">
        <f t="shared" si="8"/>
        <v>27000</v>
      </c>
      <c r="F104" s="47">
        <f t="shared" si="7"/>
        <v>10530000</v>
      </c>
      <c r="G104" s="270"/>
      <c r="H104" s="929"/>
      <c r="I104" s="919"/>
      <c r="J104" s="941"/>
      <c r="W104" s="54"/>
      <c r="Y104" s="25"/>
      <c r="Z104" s="51"/>
    </row>
    <row r="105" spans="2:26">
      <c r="B105" s="37" t="s">
        <v>253</v>
      </c>
      <c r="C105" s="39" t="s">
        <v>219</v>
      </c>
      <c r="D105" s="40">
        <v>378</v>
      </c>
      <c r="E105" s="41">
        <f t="shared" si="8"/>
        <v>46000</v>
      </c>
      <c r="F105" s="47">
        <f t="shared" si="7"/>
        <v>17388000</v>
      </c>
      <c r="G105" s="270"/>
      <c r="H105" s="902">
        <v>44989</v>
      </c>
      <c r="I105" s="917">
        <v>84375500</v>
      </c>
      <c r="J105" s="732" t="s">
        <v>218</v>
      </c>
      <c r="W105" s="54"/>
      <c r="Y105" s="25"/>
      <c r="Z105" s="51"/>
    </row>
    <row r="106" spans="2:26">
      <c r="B106" s="37" t="s">
        <v>254</v>
      </c>
      <c r="C106" s="39" t="s">
        <v>219</v>
      </c>
      <c r="D106" s="40">
        <v>276</v>
      </c>
      <c r="E106" s="41">
        <f t="shared" si="8"/>
        <v>46000</v>
      </c>
      <c r="F106" s="47">
        <f t="shared" si="7"/>
        <v>12696000</v>
      </c>
      <c r="G106" s="270"/>
      <c r="H106" s="903"/>
      <c r="I106" s="918"/>
      <c r="J106" s="733"/>
      <c r="W106" s="54"/>
      <c r="Y106" s="25"/>
      <c r="Z106" s="51"/>
    </row>
    <row r="107" spans="2:26">
      <c r="B107" s="702" t="s">
        <v>254</v>
      </c>
      <c r="C107" s="39" t="s">
        <v>219</v>
      </c>
      <c r="D107" s="40">
        <v>131</v>
      </c>
      <c r="E107" s="41">
        <f t="shared" si="8"/>
        <v>46000</v>
      </c>
      <c r="F107" s="47">
        <f t="shared" ref="F107:F121" si="9">IF(E107="-","-",D107*E107)</f>
        <v>6026000</v>
      </c>
      <c r="G107" s="270"/>
      <c r="H107" s="903"/>
      <c r="I107" s="918"/>
      <c r="J107" s="733"/>
      <c r="W107" s="54"/>
      <c r="Y107" s="25"/>
      <c r="Z107" s="51"/>
    </row>
    <row r="108" spans="2:26">
      <c r="B108" s="704"/>
      <c r="C108" s="39" t="s">
        <v>226</v>
      </c>
      <c r="D108" s="40">
        <v>69</v>
      </c>
      <c r="E108" s="41">
        <f t="shared" si="8"/>
        <v>95500</v>
      </c>
      <c r="F108" s="47">
        <f t="shared" si="9"/>
        <v>6589500</v>
      </c>
      <c r="G108" s="270"/>
      <c r="H108" s="903"/>
      <c r="I108" s="918"/>
      <c r="J108" s="733"/>
      <c r="W108" s="54"/>
      <c r="Y108" s="25"/>
      <c r="Z108" s="51"/>
    </row>
    <row r="109" spans="2:26">
      <c r="B109" s="37" t="s">
        <v>255</v>
      </c>
      <c r="C109" s="39" t="s">
        <v>219</v>
      </c>
      <c r="D109" s="40">
        <v>314</v>
      </c>
      <c r="E109" s="41">
        <f t="shared" si="8"/>
        <v>46000</v>
      </c>
      <c r="F109" s="47">
        <f t="shared" si="9"/>
        <v>14444000</v>
      </c>
      <c r="G109" s="270"/>
      <c r="H109" s="903"/>
      <c r="I109" s="918"/>
      <c r="J109" s="733"/>
      <c r="W109" s="54"/>
      <c r="Y109" s="25"/>
      <c r="Z109" s="51"/>
    </row>
    <row r="110" spans="2:26">
      <c r="B110" s="37" t="s">
        <v>257</v>
      </c>
      <c r="C110" s="39" t="s">
        <v>219</v>
      </c>
      <c r="D110" s="40">
        <v>320</v>
      </c>
      <c r="E110" s="41">
        <f t="shared" si="8"/>
        <v>46000</v>
      </c>
      <c r="F110" s="47">
        <f t="shared" si="9"/>
        <v>14720000</v>
      </c>
      <c r="G110" s="270"/>
      <c r="H110" s="903"/>
      <c r="I110" s="918"/>
      <c r="J110" s="733"/>
      <c r="W110" s="54"/>
      <c r="Y110" s="25"/>
      <c r="Z110" s="51"/>
    </row>
    <row r="111" spans="2:26">
      <c r="B111" s="37" t="s">
        <v>257</v>
      </c>
      <c r="C111" s="39" t="s">
        <v>219</v>
      </c>
      <c r="D111" s="40">
        <v>272</v>
      </c>
      <c r="E111" s="41">
        <f t="shared" si="8"/>
        <v>46000</v>
      </c>
      <c r="F111" s="47">
        <f t="shared" si="9"/>
        <v>12512000</v>
      </c>
      <c r="G111" s="270"/>
      <c r="H111" s="931"/>
      <c r="I111" s="919"/>
      <c r="J111" s="941"/>
      <c r="W111" s="54"/>
      <c r="Y111" s="25"/>
      <c r="Z111" s="51"/>
    </row>
    <row r="112" spans="2:26">
      <c r="B112" s="702" t="s">
        <v>258</v>
      </c>
      <c r="C112" s="39" t="s">
        <v>219</v>
      </c>
      <c r="D112" s="40">
        <v>199</v>
      </c>
      <c r="E112" s="41">
        <f t="shared" si="8"/>
        <v>46000</v>
      </c>
      <c r="F112" s="47">
        <f t="shared" si="9"/>
        <v>9154000</v>
      </c>
      <c r="G112" s="270"/>
      <c r="H112" s="902">
        <v>45081</v>
      </c>
      <c r="I112" s="917">
        <v>98098500</v>
      </c>
      <c r="J112" s="732" t="s">
        <v>218</v>
      </c>
      <c r="W112" s="54"/>
      <c r="Y112" s="25"/>
      <c r="Z112" s="51"/>
    </row>
    <row r="113" spans="2:26">
      <c r="B113" s="704"/>
      <c r="C113" s="39" t="s">
        <v>226</v>
      </c>
      <c r="D113" s="40">
        <v>47</v>
      </c>
      <c r="E113" s="41">
        <f t="shared" si="8"/>
        <v>95500</v>
      </c>
      <c r="F113" s="47">
        <f t="shared" si="9"/>
        <v>4488500</v>
      </c>
      <c r="G113" s="270"/>
      <c r="H113" s="903"/>
      <c r="I113" s="918"/>
      <c r="J113" s="733"/>
      <c r="W113" s="54"/>
      <c r="Y113" s="25"/>
      <c r="Z113" s="51"/>
    </row>
    <row r="114" spans="2:26">
      <c r="B114" s="37" t="s">
        <v>258</v>
      </c>
      <c r="C114" s="39" t="s">
        <v>219</v>
      </c>
      <c r="D114" s="40">
        <v>290</v>
      </c>
      <c r="E114" s="41">
        <f t="shared" si="8"/>
        <v>46000</v>
      </c>
      <c r="F114" s="47">
        <f t="shared" si="9"/>
        <v>13340000</v>
      </c>
      <c r="G114" s="270"/>
      <c r="H114" s="903"/>
      <c r="I114" s="918"/>
      <c r="J114" s="733"/>
      <c r="W114" s="54"/>
      <c r="Y114" s="25"/>
      <c r="Z114" s="51"/>
    </row>
    <row r="115" spans="2:26">
      <c r="B115" s="37" t="s">
        <v>267</v>
      </c>
      <c r="C115" s="39" t="s">
        <v>219</v>
      </c>
      <c r="D115" s="40">
        <v>315</v>
      </c>
      <c r="E115" s="41">
        <f t="shared" si="8"/>
        <v>46000</v>
      </c>
      <c r="F115" s="47">
        <f t="shared" si="9"/>
        <v>14490000</v>
      </c>
      <c r="G115" s="270"/>
      <c r="H115" s="903"/>
      <c r="I115" s="918"/>
      <c r="J115" s="733"/>
      <c r="W115" s="54"/>
      <c r="Y115" s="25"/>
      <c r="Z115" s="51"/>
    </row>
    <row r="116" spans="2:26">
      <c r="B116" s="37" t="s">
        <v>267</v>
      </c>
      <c r="C116" s="39" t="s">
        <v>219</v>
      </c>
      <c r="D116" s="40">
        <v>352</v>
      </c>
      <c r="E116" s="41">
        <f t="shared" si="8"/>
        <v>46000</v>
      </c>
      <c r="F116" s="47">
        <f t="shared" si="9"/>
        <v>16192000</v>
      </c>
      <c r="G116" s="270"/>
      <c r="H116" s="903"/>
      <c r="I116" s="918"/>
      <c r="J116" s="733"/>
      <c r="W116" s="54"/>
      <c r="Y116" s="25"/>
      <c r="Z116" s="51"/>
    </row>
    <row r="117" spans="2:26">
      <c r="B117" s="37" t="s">
        <v>268</v>
      </c>
      <c r="C117" s="39" t="s">
        <v>219</v>
      </c>
      <c r="D117" s="40">
        <v>285</v>
      </c>
      <c r="E117" s="41">
        <f t="shared" si="8"/>
        <v>46000</v>
      </c>
      <c r="F117" s="47">
        <f t="shared" si="9"/>
        <v>13110000</v>
      </c>
      <c r="G117" s="270"/>
      <c r="H117" s="903"/>
      <c r="I117" s="918"/>
      <c r="J117" s="733"/>
      <c r="W117" s="54"/>
      <c r="Y117" s="25"/>
      <c r="Z117" s="51"/>
    </row>
    <row r="118" spans="2:26">
      <c r="B118" s="37" t="s">
        <v>268</v>
      </c>
      <c r="C118" s="39" t="s">
        <v>219</v>
      </c>
      <c r="D118" s="40">
        <v>294</v>
      </c>
      <c r="E118" s="41">
        <f t="shared" si="8"/>
        <v>46000</v>
      </c>
      <c r="F118" s="47">
        <f t="shared" si="9"/>
        <v>13524000</v>
      </c>
      <c r="G118" s="270"/>
      <c r="H118" s="903"/>
      <c r="I118" s="918"/>
      <c r="J118" s="733"/>
      <c r="W118" s="54"/>
      <c r="Y118" s="25"/>
      <c r="Z118" s="51"/>
    </row>
    <row r="119" spans="2:26">
      <c r="B119" s="37" t="s">
        <v>269</v>
      </c>
      <c r="C119" s="39" t="s">
        <v>219</v>
      </c>
      <c r="D119" s="40">
        <v>300</v>
      </c>
      <c r="E119" s="41">
        <f t="shared" si="8"/>
        <v>46000</v>
      </c>
      <c r="F119" s="47">
        <f t="shared" si="9"/>
        <v>13800000</v>
      </c>
      <c r="G119" s="270"/>
      <c r="H119" s="931"/>
      <c r="I119" s="919"/>
      <c r="J119" s="941"/>
      <c r="W119" s="54"/>
      <c r="Y119" s="25"/>
      <c r="Z119" s="51"/>
    </row>
    <row r="120" spans="2:26">
      <c r="B120" s="37" t="s">
        <v>269</v>
      </c>
      <c r="C120" s="39" t="s">
        <v>219</v>
      </c>
      <c r="D120" s="40">
        <v>335</v>
      </c>
      <c r="E120" s="41">
        <f t="shared" si="8"/>
        <v>46000</v>
      </c>
      <c r="F120" s="47">
        <f t="shared" si="9"/>
        <v>15410000</v>
      </c>
      <c r="G120" s="270"/>
      <c r="H120" s="902">
        <v>45142</v>
      </c>
      <c r="I120" s="917">
        <v>113068000</v>
      </c>
      <c r="J120" s="732" t="s">
        <v>218</v>
      </c>
      <c r="W120" s="54"/>
      <c r="Y120" s="25"/>
      <c r="Z120" s="51"/>
    </row>
    <row r="121" spans="2:26">
      <c r="B121" s="37" t="s">
        <v>262</v>
      </c>
      <c r="C121" s="39" t="s">
        <v>219</v>
      </c>
      <c r="D121" s="40">
        <v>280</v>
      </c>
      <c r="E121" s="41">
        <f t="shared" si="8"/>
        <v>46000</v>
      </c>
      <c r="F121" s="47">
        <f t="shared" si="9"/>
        <v>12880000</v>
      </c>
      <c r="G121" s="270"/>
      <c r="H121" s="903"/>
      <c r="I121" s="918"/>
      <c r="J121" s="733"/>
      <c r="W121" s="54"/>
      <c r="Y121" s="25"/>
      <c r="Z121" s="51"/>
    </row>
    <row r="122" spans="2:26">
      <c r="B122" s="37" t="s">
        <v>270</v>
      </c>
      <c r="C122" s="39" t="s">
        <v>219</v>
      </c>
      <c r="D122" s="40">
        <v>286</v>
      </c>
      <c r="E122" s="41">
        <f t="shared" si="8"/>
        <v>46000</v>
      </c>
      <c r="F122" s="47">
        <f t="shared" ref="F122:F173" si="10">IF(E122="-","-",D122*E122)</f>
        <v>13156000</v>
      </c>
      <c r="G122" s="270"/>
      <c r="H122" s="903"/>
      <c r="I122" s="918"/>
      <c r="J122" s="733"/>
      <c r="W122" s="54"/>
      <c r="Y122" s="25"/>
      <c r="Z122" s="51"/>
    </row>
    <row r="123" spans="2:26">
      <c r="B123" s="37" t="s">
        <v>270</v>
      </c>
      <c r="C123" s="39" t="s">
        <v>219</v>
      </c>
      <c r="D123" s="40">
        <v>285</v>
      </c>
      <c r="E123" s="41">
        <f t="shared" si="8"/>
        <v>46000</v>
      </c>
      <c r="F123" s="47">
        <f t="shared" si="10"/>
        <v>13110000</v>
      </c>
      <c r="G123" s="270"/>
      <c r="H123" s="903"/>
      <c r="I123" s="918"/>
      <c r="J123" s="733"/>
      <c r="W123" s="54"/>
      <c r="Y123" s="25"/>
      <c r="Z123" s="51"/>
    </row>
    <row r="124" spans="2:26">
      <c r="B124" s="37" t="s">
        <v>264</v>
      </c>
      <c r="C124" s="39" t="s">
        <v>219</v>
      </c>
      <c r="D124" s="40">
        <v>345</v>
      </c>
      <c r="E124" s="41">
        <f t="shared" si="8"/>
        <v>46000</v>
      </c>
      <c r="F124" s="47">
        <f t="shared" si="10"/>
        <v>15870000</v>
      </c>
      <c r="G124" s="270"/>
      <c r="H124" s="903"/>
      <c r="I124" s="918"/>
      <c r="J124" s="733"/>
      <c r="W124" s="54"/>
      <c r="Y124" s="25"/>
      <c r="Z124" s="51"/>
    </row>
    <row r="125" spans="2:26">
      <c r="B125" s="37" t="s">
        <v>264</v>
      </c>
      <c r="C125" s="39" t="s">
        <v>219</v>
      </c>
      <c r="D125" s="40">
        <v>309</v>
      </c>
      <c r="E125" s="41">
        <f t="shared" si="8"/>
        <v>46000</v>
      </c>
      <c r="F125" s="47">
        <f t="shared" si="10"/>
        <v>14214000</v>
      </c>
      <c r="G125" s="270"/>
      <c r="H125" s="903"/>
      <c r="I125" s="918"/>
      <c r="J125" s="733"/>
      <c r="W125" s="54"/>
      <c r="Y125" s="25"/>
      <c r="Z125" s="51"/>
    </row>
    <row r="126" spans="2:26">
      <c r="B126" s="37" t="s">
        <v>264</v>
      </c>
      <c r="C126" s="39" t="s">
        <v>219</v>
      </c>
      <c r="D126" s="40">
        <v>323</v>
      </c>
      <c r="E126" s="41">
        <f t="shared" si="8"/>
        <v>46000</v>
      </c>
      <c r="F126" s="47">
        <f t="shared" si="10"/>
        <v>14858000</v>
      </c>
      <c r="G126" s="270"/>
      <c r="H126" s="903"/>
      <c r="I126" s="918"/>
      <c r="J126" s="733"/>
      <c r="W126" s="54"/>
      <c r="Y126" s="25"/>
      <c r="Z126" s="51"/>
    </row>
    <row r="127" spans="2:26">
      <c r="B127" s="37" t="s">
        <v>271</v>
      </c>
      <c r="C127" s="39" t="s">
        <v>219</v>
      </c>
      <c r="D127" s="40">
        <v>295</v>
      </c>
      <c r="E127" s="41">
        <f t="shared" si="8"/>
        <v>46000</v>
      </c>
      <c r="F127" s="47">
        <f t="shared" si="10"/>
        <v>13570000</v>
      </c>
      <c r="G127" s="270"/>
      <c r="H127" s="931"/>
      <c r="I127" s="919"/>
      <c r="J127" s="941"/>
      <c r="W127" s="54"/>
      <c r="Y127" s="25"/>
      <c r="Z127" s="51"/>
    </row>
    <row r="128" spans="2:26">
      <c r="B128" s="37" t="s">
        <v>271</v>
      </c>
      <c r="C128" s="39" t="s">
        <v>219</v>
      </c>
      <c r="D128" s="40">
        <v>318</v>
      </c>
      <c r="E128" s="41">
        <f t="shared" si="8"/>
        <v>46000</v>
      </c>
      <c r="F128" s="47">
        <f t="shared" si="10"/>
        <v>14628000</v>
      </c>
      <c r="G128" s="270"/>
      <c r="H128" s="902">
        <v>45234</v>
      </c>
      <c r="I128" s="917">
        <v>71940000</v>
      </c>
      <c r="J128" s="732" t="s">
        <v>218</v>
      </c>
      <c r="W128" s="54"/>
      <c r="Y128" s="25"/>
      <c r="Z128" s="51"/>
    </row>
    <row r="129" spans="2:26">
      <c r="B129" s="37" t="s">
        <v>271</v>
      </c>
      <c r="C129" s="39" t="s">
        <v>219</v>
      </c>
      <c r="D129" s="40">
        <v>290</v>
      </c>
      <c r="E129" s="41">
        <f t="shared" si="8"/>
        <v>46000</v>
      </c>
      <c r="F129" s="47">
        <f t="shared" si="10"/>
        <v>13340000</v>
      </c>
      <c r="G129" s="270"/>
      <c r="H129" s="903"/>
      <c r="I129" s="918"/>
      <c r="J129" s="733"/>
      <c r="W129" s="54"/>
      <c r="Y129" s="25"/>
      <c r="Z129" s="51"/>
    </row>
    <row r="130" spans="2:26">
      <c r="B130" s="37" t="s">
        <v>265</v>
      </c>
      <c r="C130" s="39" t="s">
        <v>219</v>
      </c>
      <c r="D130" s="40">
        <v>330</v>
      </c>
      <c r="E130" s="41">
        <f t="shared" si="8"/>
        <v>46000</v>
      </c>
      <c r="F130" s="47">
        <f t="shared" si="10"/>
        <v>15180000</v>
      </c>
      <c r="G130" s="270"/>
      <c r="H130" s="903"/>
      <c r="I130" s="918"/>
      <c r="J130" s="733"/>
      <c r="W130" s="54"/>
      <c r="Y130" s="25"/>
      <c r="Z130" s="51"/>
    </row>
    <row r="131" spans="2:26">
      <c r="B131" s="37" t="s">
        <v>265</v>
      </c>
      <c r="C131" s="39" t="s">
        <v>219</v>
      </c>
      <c r="D131" s="40">
        <v>293</v>
      </c>
      <c r="E131" s="41">
        <f t="shared" ref="E131:E162" si="11">IFERROR(INDEX(daftar,MATCH(C131,nmdaftar,0),2),"-")</f>
        <v>46000</v>
      </c>
      <c r="F131" s="47">
        <f t="shared" si="10"/>
        <v>13478000</v>
      </c>
      <c r="G131" s="270"/>
      <c r="H131" s="903"/>
      <c r="I131" s="918"/>
      <c r="J131" s="733"/>
      <c r="W131" s="54"/>
      <c r="Y131" s="25"/>
      <c r="Z131" s="51"/>
    </row>
    <row r="132" spans="2:26">
      <c r="B132" s="899" t="s">
        <v>265</v>
      </c>
      <c r="C132" s="39" t="s">
        <v>219</v>
      </c>
      <c r="D132" s="40">
        <v>185</v>
      </c>
      <c r="E132" s="41">
        <f t="shared" si="11"/>
        <v>46000</v>
      </c>
      <c r="F132" s="47">
        <f t="shared" si="10"/>
        <v>8510000</v>
      </c>
      <c r="G132" s="270"/>
      <c r="H132" s="903"/>
      <c r="I132" s="918"/>
      <c r="J132" s="733"/>
      <c r="W132" s="54"/>
      <c r="Y132" s="25"/>
      <c r="Z132" s="51"/>
    </row>
    <row r="133" spans="2:26">
      <c r="B133" s="901"/>
      <c r="C133" s="39" t="s">
        <v>220</v>
      </c>
      <c r="D133" s="40">
        <v>252</v>
      </c>
      <c r="E133" s="41">
        <f t="shared" si="11"/>
        <v>27000</v>
      </c>
      <c r="F133" s="47">
        <f t="shared" si="10"/>
        <v>6804000</v>
      </c>
      <c r="G133" s="270"/>
      <c r="H133" s="931"/>
      <c r="I133" s="919"/>
      <c r="J133" s="941"/>
      <c r="W133" s="54"/>
      <c r="Y133" s="25"/>
      <c r="Z133" s="51"/>
    </row>
    <row r="134" spans="2:26">
      <c r="B134" s="37" t="s">
        <v>272</v>
      </c>
      <c r="C134" s="39" t="s">
        <v>219</v>
      </c>
      <c r="D134" s="40">
        <v>300</v>
      </c>
      <c r="E134" s="41">
        <f t="shared" si="11"/>
        <v>46000</v>
      </c>
      <c r="F134" s="47">
        <f t="shared" si="10"/>
        <v>13800000</v>
      </c>
      <c r="G134" s="270"/>
      <c r="H134" s="905" t="s">
        <v>273</v>
      </c>
      <c r="I134" s="917">
        <v>55356500</v>
      </c>
      <c r="J134" s="732" t="s">
        <v>218</v>
      </c>
      <c r="W134" s="54"/>
      <c r="Y134" s="25"/>
      <c r="Z134" s="51"/>
    </row>
    <row r="135" spans="2:26">
      <c r="B135" s="899" t="s">
        <v>272</v>
      </c>
      <c r="C135" s="39" t="s">
        <v>219</v>
      </c>
      <c r="D135" s="40">
        <v>162</v>
      </c>
      <c r="E135" s="41">
        <f t="shared" si="11"/>
        <v>46000</v>
      </c>
      <c r="F135" s="47">
        <f t="shared" si="10"/>
        <v>7452000</v>
      </c>
      <c r="G135" s="270"/>
      <c r="H135" s="906"/>
      <c r="I135" s="918"/>
      <c r="J135" s="733"/>
      <c r="W135" s="54"/>
      <c r="Y135" s="25"/>
      <c r="Z135" s="51"/>
    </row>
    <row r="136" spans="2:26">
      <c r="B136" s="901"/>
      <c r="C136" s="39" t="s">
        <v>226</v>
      </c>
      <c r="D136" s="40">
        <v>71</v>
      </c>
      <c r="E136" s="41">
        <f t="shared" si="11"/>
        <v>95500</v>
      </c>
      <c r="F136" s="47">
        <f t="shared" si="10"/>
        <v>6780500</v>
      </c>
      <c r="G136" s="270"/>
      <c r="H136" s="906"/>
      <c r="I136" s="918"/>
      <c r="J136" s="733"/>
      <c r="W136" s="54"/>
      <c r="Y136" s="25"/>
      <c r="Z136" s="51"/>
    </row>
    <row r="137" spans="2:26">
      <c r="B137" s="44" t="s">
        <v>266</v>
      </c>
      <c r="C137" s="39" t="s">
        <v>219</v>
      </c>
      <c r="D137" s="40">
        <v>290</v>
      </c>
      <c r="E137" s="41">
        <f t="shared" si="11"/>
        <v>46000</v>
      </c>
      <c r="F137" s="47">
        <f t="shared" si="10"/>
        <v>13340000</v>
      </c>
      <c r="G137" s="270"/>
      <c r="H137" s="906"/>
      <c r="I137" s="918"/>
      <c r="J137" s="733"/>
      <c r="W137" s="54"/>
      <c r="Y137" s="25"/>
      <c r="Z137" s="51"/>
    </row>
    <row r="138" spans="2:26">
      <c r="B138" s="44" t="s">
        <v>266</v>
      </c>
      <c r="C138" s="39" t="s">
        <v>219</v>
      </c>
      <c r="D138" s="40">
        <v>304</v>
      </c>
      <c r="E138" s="41">
        <f t="shared" si="11"/>
        <v>46000</v>
      </c>
      <c r="F138" s="47">
        <f t="shared" si="10"/>
        <v>13984000</v>
      </c>
      <c r="G138" s="270"/>
      <c r="H138" s="929"/>
      <c r="I138" s="919"/>
      <c r="J138" s="941"/>
      <c r="W138" s="54"/>
      <c r="Y138" s="25"/>
      <c r="Z138" s="51"/>
    </row>
    <row r="139" spans="2:26">
      <c r="B139" s="44" t="s">
        <v>266</v>
      </c>
      <c r="C139" s="39" t="s">
        <v>219</v>
      </c>
      <c r="D139" s="40">
        <v>290</v>
      </c>
      <c r="E139" s="41">
        <f t="shared" si="11"/>
        <v>46000</v>
      </c>
      <c r="F139" s="47">
        <f t="shared" si="10"/>
        <v>13340000</v>
      </c>
      <c r="G139" s="270"/>
      <c r="H139" s="930" t="s">
        <v>274</v>
      </c>
      <c r="I139" s="928">
        <v>98353500</v>
      </c>
      <c r="J139" s="923" t="s">
        <v>218</v>
      </c>
      <c r="W139" s="54"/>
      <c r="Y139" s="25"/>
      <c r="Z139" s="51"/>
    </row>
    <row r="140" spans="2:26">
      <c r="B140" s="703">
        <v>44930</v>
      </c>
      <c r="C140" s="39" t="s">
        <v>219</v>
      </c>
      <c r="D140" s="40">
        <v>155</v>
      </c>
      <c r="E140" s="41">
        <f t="shared" si="11"/>
        <v>46000</v>
      </c>
      <c r="F140" s="47">
        <f t="shared" si="10"/>
        <v>7130000</v>
      </c>
      <c r="G140" s="270"/>
      <c r="H140" s="930"/>
      <c r="I140" s="928"/>
      <c r="J140" s="923"/>
      <c r="W140" s="54"/>
      <c r="Y140" s="25"/>
      <c r="Z140" s="51"/>
    </row>
    <row r="141" spans="2:26">
      <c r="B141" s="704"/>
      <c r="C141" s="39" t="s">
        <v>226</v>
      </c>
      <c r="D141" s="40">
        <v>78</v>
      </c>
      <c r="E141" s="41">
        <f t="shared" si="11"/>
        <v>95500</v>
      </c>
      <c r="F141" s="47">
        <f t="shared" si="10"/>
        <v>7449000</v>
      </c>
      <c r="G141" s="270"/>
      <c r="H141" s="930"/>
      <c r="I141" s="928"/>
      <c r="J141" s="923"/>
      <c r="W141" s="54"/>
      <c r="Y141" s="25"/>
      <c r="Z141" s="51"/>
    </row>
    <row r="142" spans="2:26">
      <c r="B142" s="44">
        <v>44989</v>
      </c>
      <c r="C142" s="39" t="s">
        <v>219</v>
      </c>
      <c r="D142" s="40">
        <v>304</v>
      </c>
      <c r="E142" s="41">
        <f t="shared" si="11"/>
        <v>46000</v>
      </c>
      <c r="F142" s="47">
        <f t="shared" si="10"/>
        <v>13984000</v>
      </c>
      <c r="G142" s="270"/>
      <c r="H142" s="930"/>
      <c r="I142" s="928"/>
      <c r="J142" s="923"/>
      <c r="W142" s="54"/>
      <c r="Y142" s="25"/>
      <c r="Z142" s="51"/>
    </row>
    <row r="143" spans="2:26">
      <c r="B143" s="44">
        <v>44989</v>
      </c>
      <c r="C143" s="39" t="s">
        <v>219</v>
      </c>
      <c r="D143" s="40">
        <v>310</v>
      </c>
      <c r="E143" s="41">
        <f t="shared" si="11"/>
        <v>46000</v>
      </c>
      <c r="F143" s="47">
        <f t="shared" si="10"/>
        <v>14260000</v>
      </c>
      <c r="G143" s="270"/>
      <c r="H143" s="930"/>
      <c r="I143" s="928"/>
      <c r="J143" s="923"/>
      <c r="W143" s="54"/>
      <c r="Y143" s="25"/>
      <c r="Z143" s="51"/>
    </row>
    <row r="144" spans="2:26">
      <c r="B144" s="44">
        <v>44989</v>
      </c>
      <c r="C144" s="39" t="s">
        <v>226</v>
      </c>
      <c r="D144" s="40">
        <v>147</v>
      </c>
      <c r="E144" s="41">
        <f t="shared" si="11"/>
        <v>95500</v>
      </c>
      <c r="F144" s="47">
        <f t="shared" si="10"/>
        <v>14038500</v>
      </c>
      <c r="G144" s="270"/>
      <c r="H144" s="930"/>
      <c r="I144" s="928"/>
      <c r="J144" s="923"/>
      <c r="W144" s="54"/>
      <c r="Y144" s="25"/>
      <c r="Z144" s="51"/>
    </row>
    <row r="145" spans="2:26">
      <c r="B145" s="45">
        <v>44989</v>
      </c>
      <c r="C145" s="39" t="s">
        <v>219</v>
      </c>
      <c r="D145" s="40">
        <v>612</v>
      </c>
      <c r="E145" s="41">
        <f t="shared" si="11"/>
        <v>46000</v>
      </c>
      <c r="F145" s="47">
        <f t="shared" si="10"/>
        <v>28152000</v>
      </c>
      <c r="G145" s="270"/>
      <c r="H145" s="930"/>
      <c r="I145" s="928"/>
      <c r="J145" s="923"/>
      <c r="W145" s="54"/>
      <c r="Y145" s="25"/>
      <c r="Z145" s="51"/>
    </row>
    <row r="146" spans="2:26">
      <c r="B146" s="937">
        <v>45020</v>
      </c>
      <c r="C146" s="39" t="s">
        <v>219</v>
      </c>
      <c r="D146" s="40">
        <v>233</v>
      </c>
      <c r="E146" s="41">
        <f t="shared" si="11"/>
        <v>46000</v>
      </c>
      <c r="F146" s="47">
        <f t="shared" si="10"/>
        <v>10718000</v>
      </c>
      <c r="G146" s="270"/>
      <c r="H146" s="905" t="s">
        <v>275</v>
      </c>
      <c r="I146" s="917">
        <v>73818000</v>
      </c>
      <c r="J146" s="732" t="s">
        <v>218</v>
      </c>
      <c r="W146" s="54"/>
      <c r="Y146" s="25"/>
      <c r="Z146" s="51"/>
    </row>
    <row r="147" spans="2:26">
      <c r="B147" s="937"/>
      <c r="C147" s="39" t="s">
        <v>222</v>
      </c>
      <c r="D147" s="40">
        <v>200</v>
      </c>
      <c r="E147" s="41">
        <f t="shared" si="11"/>
        <v>14000</v>
      </c>
      <c r="F147" s="47">
        <f t="shared" si="10"/>
        <v>2800000</v>
      </c>
      <c r="G147" s="270"/>
      <c r="H147" s="906"/>
      <c r="I147" s="918"/>
      <c r="J147" s="733"/>
      <c r="W147" s="54"/>
      <c r="Y147" s="25"/>
      <c r="Z147" s="51"/>
    </row>
    <row r="148" spans="2:26">
      <c r="B148" s="937"/>
      <c r="C148" s="39" t="s">
        <v>224</v>
      </c>
      <c r="D148" s="40">
        <v>200</v>
      </c>
      <c r="E148" s="41">
        <f t="shared" si="11"/>
        <v>14000</v>
      </c>
      <c r="F148" s="47">
        <f t="shared" si="10"/>
        <v>2800000</v>
      </c>
      <c r="G148" s="270"/>
      <c r="H148" s="906"/>
      <c r="I148" s="918"/>
      <c r="J148" s="733"/>
      <c r="W148" s="54"/>
      <c r="Y148" s="25"/>
      <c r="Z148" s="51"/>
    </row>
    <row r="149" spans="2:26">
      <c r="B149" s="44">
        <v>45020</v>
      </c>
      <c r="C149" s="39" t="s">
        <v>219</v>
      </c>
      <c r="D149" s="40">
        <v>322</v>
      </c>
      <c r="E149" s="41">
        <f t="shared" si="11"/>
        <v>46000</v>
      </c>
      <c r="F149" s="47">
        <f t="shared" si="10"/>
        <v>14812000</v>
      </c>
      <c r="G149" s="270"/>
      <c r="H149" s="906"/>
      <c r="I149" s="918"/>
      <c r="J149" s="733"/>
      <c r="W149" s="54"/>
      <c r="Y149" s="25"/>
      <c r="Z149" s="51"/>
    </row>
    <row r="150" spans="2:26">
      <c r="B150" s="44">
        <v>45020</v>
      </c>
      <c r="C150" s="39" t="s">
        <v>219</v>
      </c>
      <c r="D150" s="40">
        <v>311</v>
      </c>
      <c r="E150" s="41">
        <f t="shared" si="11"/>
        <v>46000</v>
      </c>
      <c r="F150" s="47">
        <f t="shared" si="10"/>
        <v>14306000</v>
      </c>
      <c r="G150" s="270"/>
      <c r="H150" s="906"/>
      <c r="I150" s="918"/>
      <c r="J150" s="733"/>
      <c r="W150" s="54"/>
      <c r="Y150" s="25"/>
      <c r="Z150" s="51"/>
    </row>
    <row r="151" spans="2:26">
      <c r="B151" s="44">
        <v>45050</v>
      </c>
      <c r="C151" s="39" t="s">
        <v>219</v>
      </c>
      <c r="D151" s="40">
        <v>617</v>
      </c>
      <c r="E151" s="41">
        <f t="shared" si="11"/>
        <v>46000</v>
      </c>
      <c r="F151" s="47">
        <f t="shared" si="10"/>
        <v>28382000</v>
      </c>
      <c r="G151" s="270"/>
      <c r="H151" s="929"/>
      <c r="I151" s="919"/>
      <c r="J151" s="941"/>
      <c r="W151" s="54"/>
      <c r="Y151" s="25"/>
      <c r="Z151" s="51"/>
    </row>
    <row r="152" spans="2:26">
      <c r="B152" s="44">
        <v>45050</v>
      </c>
      <c r="C152" s="39" t="s">
        <v>219</v>
      </c>
      <c r="D152" s="40">
        <v>300</v>
      </c>
      <c r="E152" s="41">
        <f t="shared" si="11"/>
        <v>46000</v>
      </c>
      <c r="F152" s="47">
        <f t="shared" si="10"/>
        <v>13800000</v>
      </c>
      <c r="G152" s="270"/>
      <c r="H152" s="905" t="s">
        <v>276</v>
      </c>
      <c r="I152" s="917">
        <v>107484000</v>
      </c>
      <c r="J152" s="732" t="s">
        <v>218</v>
      </c>
      <c r="W152" s="54"/>
      <c r="Y152" s="25"/>
      <c r="Z152" s="51"/>
    </row>
    <row r="153" spans="2:26">
      <c r="B153" s="44">
        <v>45081</v>
      </c>
      <c r="C153" s="39" t="s">
        <v>219</v>
      </c>
      <c r="D153" s="40">
        <v>591</v>
      </c>
      <c r="E153" s="41">
        <f t="shared" si="11"/>
        <v>46000</v>
      </c>
      <c r="F153" s="47">
        <f t="shared" si="10"/>
        <v>27186000</v>
      </c>
      <c r="G153" s="270"/>
      <c r="H153" s="906"/>
      <c r="I153" s="918"/>
      <c r="J153" s="733"/>
      <c r="W153" s="54"/>
      <c r="Y153" s="25"/>
      <c r="Z153" s="51"/>
    </row>
    <row r="154" spans="2:26">
      <c r="B154" s="44">
        <v>45111</v>
      </c>
      <c r="C154" s="39" t="s">
        <v>219</v>
      </c>
      <c r="D154" s="40">
        <v>565</v>
      </c>
      <c r="E154" s="41">
        <f t="shared" si="11"/>
        <v>46000</v>
      </c>
      <c r="F154" s="47">
        <f t="shared" si="10"/>
        <v>25990000</v>
      </c>
      <c r="G154" s="270"/>
      <c r="H154" s="906"/>
      <c r="I154" s="918"/>
      <c r="J154" s="733"/>
      <c r="W154" s="54"/>
      <c r="Y154" s="25"/>
      <c r="Z154" s="51"/>
    </row>
    <row r="155" spans="2:26">
      <c r="B155" s="44">
        <v>45142</v>
      </c>
      <c r="C155" s="39" t="s">
        <v>219</v>
      </c>
      <c r="D155" s="40">
        <v>296</v>
      </c>
      <c r="E155" s="41">
        <f t="shared" si="11"/>
        <v>46000</v>
      </c>
      <c r="F155" s="47">
        <f t="shared" si="10"/>
        <v>13616000</v>
      </c>
      <c r="G155" s="270"/>
      <c r="H155" s="906"/>
      <c r="I155" s="918"/>
      <c r="J155" s="733"/>
      <c r="W155" s="54"/>
      <c r="Y155" s="25"/>
      <c r="Z155" s="51"/>
    </row>
    <row r="156" spans="2:26">
      <c r="B156" s="900">
        <v>45142</v>
      </c>
      <c r="C156" s="39" t="s">
        <v>219</v>
      </c>
      <c r="D156" s="40">
        <v>139</v>
      </c>
      <c r="E156" s="41">
        <f t="shared" si="11"/>
        <v>46000</v>
      </c>
      <c r="F156" s="47">
        <f t="shared" si="10"/>
        <v>6394000</v>
      </c>
      <c r="G156" s="270"/>
      <c r="H156" s="906"/>
      <c r="I156" s="918"/>
      <c r="J156" s="733"/>
      <c r="W156" s="54"/>
      <c r="Y156" s="25"/>
      <c r="Z156" s="51"/>
    </row>
    <row r="157" spans="2:26">
      <c r="B157" s="900"/>
      <c r="C157" s="39" t="s">
        <v>222</v>
      </c>
      <c r="D157" s="40">
        <v>300</v>
      </c>
      <c r="E157" s="41">
        <f t="shared" si="11"/>
        <v>14000</v>
      </c>
      <c r="F157" s="47">
        <f t="shared" si="10"/>
        <v>4200000</v>
      </c>
      <c r="G157" s="270"/>
      <c r="H157" s="906"/>
      <c r="I157" s="918"/>
      <c r="J157" s="733"/>
      <c r="W157" s="54"/>
      <c r="Y157" s="25"/>
      <c r="Z157" s="51"/>
    </row>
    <row r="158" spans="2:26">
      <c r="B158" s="901"/>
      <c r="C158" s="39" t="s">
        <v>224</v>
      </c>
      <c r="D158" s="40">
        <v>300</v>
      </c>
      <c r="E158" s="41">
        <f t="shared" si="11"/>
        <v>14000</v>
      </c>
      <c r="F158" s="47">
        <f t="shared" si="10"/>
        <v>4200000</v>
      </c>
      <c r="G158" s="270"/>
      <c r="H158" s="906"/>
      <c r="I158" s="918"/>
      <c r="J158" s="733"/>
      <c r="W158" s="54"/>
      <c r="Y158" s="25"/>
      <c r="Z158" s="51"/>
    </row>
    <row r="159" spans="2:26">
      <c r="B159" s="44">
        <v>45203</v>
      </c>
      <c r="C159" s="39" t="s">
        <v>219</v>
      </c>
      <c r="D159" s="40">
        <v>263</v>
      </c>
      <c r="E159" s="41">
        <f t="shared" si="11"/>
        <v>46000</v>
      </c>
      <c r="F159" s="47">
        <f t="shared" si="10"/>
        <v>12098000</v>
      </c>
      <c r="G159" s="270"/>
      <c r="H159" s="929"/>
      <c r="I159" s="919"/>
      <c r="J159" s="941"/>
      <c r="W159" s="54"/>
      <c r="Y159" s="25"/>
      <c r="Z159" s="51"/>
    </row>
    <row r="160" spans="2:26">
      <c r="B160" s="44">
        <v>45203</v>
      </c>
      <c r="C160" s="39" t="s">
        <v>219</v>
      </c>
      <c r="D160" s="40">
        <v>304</v>
      </c>
      <c r="E160" s="41">
        <f t="shared" si="11"/>
        <v>46000</v>
      </c>
      <c r="F160" s="47">
        <f t="shared" si="10"/>
        <v>13984000</v>
      </c>
      <c r="G160" s="270"/>
      <c r="H160" s="905" t="s">
        <v>277</v>
      </c>
      <c r="I160" s="917">
        <v>54786000</v>
      </c>
      <c r="J160" s="732" t="s">
        <v>218</v>
      </c>
      <c r="W160" s="54"/>
      <c r="Y160" s="25"/>
      <c r="Z160" s="51"/>
    </row>
    <row r="161" spans="2:26">
      <c r="B161" s="44">
        <v>45203</v>
      </c>
      <c r="C161" s="39" t="s">
        <v>219</v>
      </c>
      <c r="D161" s="40">
        <v>272</v>
      </c>
      <c r="E161" s="41">
        <f t="shared" si="11"/>
        <v>46000</v>
      </c>
      <c r="F161" s="47">
        <f t="shared" si="10"/>
        <v>12512000</v>
      </c>
      <c r="G161" s="270"/>
      <c r="H161" s="906"/>
      <c r="I161" s="918"/>
      <c r="J161" s="733"/>
      <c r="W161" s="54"/>
      <c r="Y161" s="25"/>
      <c r="Z161" s="51"/>
    </row>
    <row r="162" spans="2:26">
      <c r="B162" s="44">
        <v>45234</v>
      </c>
      <c r="C162" s="39" t="s">
        <v>219</v>
      </c>
      <c r="D162" s="40">
        <v>615</v>
      </c>
      <c r="E162" s="41">
        <f t="shared" si="11"/>
        <v>46000</v>
      </c>
      <c r="F162" s="47">
        <f t="shared" si="10"/>
        <v>28290000</v>
      </c>
      <c r="G162" s="270"/>
      <c r="H162" s="929"/>
      <c r="I162" s="919"/>
      <c r="J162" s="941"/>
      <c r="W162" s="54"/>
      <c r="Y162" s="25"/>
      <c r="Z162" s="51"/>
    </row>
    <row r="163" spans="2:26">
      <c r="B163" s="44">
        <v>45234</v>
      </c>
      <c r="C163" s="39" t="s">
        <v>219</v>
      </c>
      <c r="D163" s="40">
        <v>313</v>
      </c>
      <c r="E163" s="41">
        <f t="shared" ref="E163:E194" si="12">IFERROR(INDEX(daftar,MATCH(C163,nmdaftar,0),2),"-")</f>
        <v>46000</v>
      </c>
      <c r="F163" s="47">
        <f t="shared" si="10"/>
        <v>14398000</v>
      </c>
      <c r="G163" s="270"/>
      <c r="H163" s="902">
        <v>44931</v>
      </c>
      <c r="I163" s="917">
        <v>96370000</v>
      </c>
      <c r="J163" s="732" t="s">
        <v>218</v>
      </c>
      <c r="W163" s="54"/>
      <c r="Y163" s="25"/>
      <c r="Z163" s="51"/>
    </row>
    <row r="164" spans="2:26">
      <c r="B164" s="37">
        <v>45264</v>
      </c>
      <c r="C164" s="39" t="s">
        <v>219</v>
      </c>
      <c r="D164" s="40">
        <v>305</v>
      </c>
      <c r="E164" s="41">
        <f t="shared" si="12"/>
        <v>46000</v>
      </c>
      <c r="F164" s="47">
        <f t="shared" si="10"/>
        <v>14030000</v>
      </c>
      <c r="G164" s="270"/>
      <c r="H164" s="903"/>
      <c r="I164" s="918"/>
      <c r="J164" s="733"/>
      <c r="W164" s="54"/>
      <c r="Y164" s="25"/>
      <c r="Z164" s="51"/>
    </row>
    <row r="165" spans="2:26">
      <c r="B165" s="37">
        <v>45264</v>
      </c>
      <c r="C165" s="39" t="s">
        <v>219</v>
      </c>
      <c r="D165" s="40">
        <v>335</v>
      </c>
      <c r="E165" s="41">
        <f t="shared" si="12"/>
        <v>46000</v>
      </c>
      <c r="F165" s="47">
        <f t="shared" si="10"/>
        <v>15410000</v>
      </c>
      <c r="G165" s="270"/>
      <c r="H165" s="903"/>
      <c r="I165" s="918"/>
      <c r="J165" s="733"/>
      <c r="W165" s="54"/>
      <c r="Y165" s="25"/>
      <c r="Z165" s="51"/>
    </row>
    <row r="166" spans="2:26">
      <c r="B166" s="37">
        <v>45264</v>
      </c>
      <c r="C166" s="39" t="s">
        <v>219</v>
      </c>
      <c r="D166" s="40">
        <v>300</v>
      </c>
      <c r="E166" s="41">
        <f t="shared" si="12"/>
        <v>46000</v>
      </c>
      <c r="F166" s="47">
        <f t="shared" si="10"/>
        <v>13800000</v>
      </c>
      <c r="G166" s="270"/>
      <c r="H166" s="903"/>
      <c r="I166" s="918"/>
      <c r="J166" s="733"/>
      <c r="W166" s="54"/>
      <c r="Y166" s="25"/>
      <c r="Z166" s="51"/>
    </row>
    <row r="167" spans="2:26">
      <c r="B167" s="37">
        <v>45264</v>
      </c>
      <c r="C167" s="39" t="s">
        <v>219</v>
      </c>
      <c r="D167" s="40">
        <v>314</v>
      </c>
      <c r="E167" s="41">
        <f t="shared" si="12"/>
        <v>46000</v>
      </c>
      <c r="F167" s="47">
        <f t="shared" si="10"/>
        <v>14444000</v>
      </c>
      <c r="G167" s="270"/>
      <c r="H167" s="903"/>
      <c r="I167" s="918"/>
      <c r="J167" s="733"/>
      <c r="W167" s="54"/>
      <c r="Y167" s="25"/>
      <c r="Z167" s="51"/>
    </row>
    <row r="168" spans="2:26">
      <c r="B168" s="37">
        <v>45264</v>
      </c>
      <c r="C168" s="39" t="s">
        <v>219</v>
      </c>
      <c r="D168" s="40">
        <v>528</v>
      </c>
      <c r="E168" s="41">
        <f t="shared" si="12"/>
        <v>46000</v>
      </c>
      <c r="F168" s="47">
        <f t="shared" si="10"/>
        <v>24288000</v>
      </c>
      <c r="G168" s="270"/>
      <c r="H168" s="931"/>
      <c r="I168" s="919"/>
      <c r="J168" s="941"/>
      <c r="W168" s="54"/>
      <c r="Y168" s="25"/>
      <c r="Z168" s="51"/>
    </row>
    <row r="169" spans="2:26">
      <c r="B169" s="937" t="s">
        <v>273</v>
      </c>
      <c r="C169" s="39" t="s">
        <v>219</v>
      </c>
      <c r="D169" s="40">
        <v>330</v>
      </c>
      <c r="E169" s="41">
        <f t="shared" si="12"/>
        <v>46000</v>
      </c>
      <c r="F169" s="47">
        <f t="shared" si="10"/>
        <v>15180000</v>
      </c>
      <c r="G169" s="270"/>
      <c r="H169" s="902">
        <v>45051</v>
      </c>
      <c r="I169" s="728">
        <v>153504500</v>
      </c>
      <c r="J169" s="732" t="s">
        <v>218</v>
      </c>
      <c r="W169" s="54"/>
      <c r="Y169" s="25"/>
      <c r="Z169" s="51"/>
    </row>
    <row r="170" spans="2:26">
      <c r="B170" s="937"/>
      <c r="C170" s="39" t="s">
        <v>226</v>
      </c>
      <c r="D170" s="40">
        <v>135</v>
      </c>
      <c r="E170" s="41">
        <f t="shared" si="12"/>
        <v>95500</v>
      </c>
      <c r="F170" s="47">
        <f t="shared" si="10"/>
        <v>12892500</v>
      </c>
      <c r="G170" s="270"/>
      <c r="H170" s="903"/>
      <c r="I170" s="729"/>
      <c r="J170" s="733"/>
      <c r="W170" s="54"/>
      <c r="Y170" s="25"/>
      <c r="Z170" s="51"/>
    </row>
    <row r="171" spans="2:26">
      <c r="B171" s="44" t="s">
        <v>273</v>
      </c>
      <c r="C171" s="39" t="s">
        <v>219</v>
      </c>
      <c r="D171" s="40">
        <v>286</v>
      </c>
      <c r="E171" s="41">
        <f t="shared" si="12"/>
        <v>46000</v>
      </c>
      <c r="F171" s="47">
        <f t="shared" si="10"/>
        <v>13156000</v>
      </c>
      <c r="G171" s="270"/>
      <c r="H171" s="903"/>
      <c r="I171" s="729"/>
      <c r="J171" s="733"/>
      <c r="W171" s="54"/>
      <c r="Y171" s="25"/>
      <c r="Z171" s="51"/>
    </row>
    <row r="172" spans="2:26">
      <c r="B172" s="44" t="s">
        <v>273</v>
      </c>
      <c r="C172" s="39" t="s">
        <v>219</v>
      </c>
      <c r="D172" s="40">
        <v>311</v>
      </c>
      <c r="E172" s="41">
        <f t="shared" si="12"/>
        <v>46000</v>
      </c>
      <c r="F172" s="47">
        <f t="shared" si="10"/>
        <v>14306000</v>
      </c>
      <c r="G172" s="270"/>
      <c r="H172" s="903"/>
      <c r="I172" s="729"/>
      <c r="J172" s="733"/>
      <c r="W172" s="54"/>
      <c r="Y172" s="25"/>
      <c r="Z172" s="51"/>
    </row>
    <row r="173" spans="2:26">
      <c r="B173" s="44" t="s">
        <v>273</v>
      </c>
      <c r="C173" s="39" t="s">
        <v>219</v>
      </c>
      <c r="D173" s="40">
        <v>305</v>
      </c>
      <c r="E173" s="41">
        <f t="shared" si="12"/>
        <v>46000</v>
      </c>
      <c r="F173" s="47">
        <f t="shared" si="10"/>
        <v>14030000</v>
      </c>
      <c r="G173" s="270"/>
      <c r="H173" s="903"/>
      <c r="I173" s="729"/>
      <c r="J173" s="733"/>
      <c r="W173" s="54"/>
      <c r="Y173" s="25"/>
      <c r="Z173" s="51"/>
    </row>
    <row r="174" spans="2:26">
      <c r="B174" s="44" t="s">
        <v>278</v>
      </c>
      <c r="C174" s="39" t="s">
        <v>219</v>
      </c>
      <c r="D174" s="40">
        <v>325</v>
      </c>
      <c r="E174" s="41">
        <f t="shared" si="12"/>
        <v>46000</v>
      </c>
      <c r="F174" s="47">
        <f t="shared" ref="F174:F183" si="13">IF(E174="-","-",D174*E174)</f>
        <v>14950000</v>
      </c>
      <c r="G174" s="270"/>
      <c r="H174" s="903"/>
      <c r="I174" s="729"/>
      <c r="J174" s="733"/>
      <c r="W174" s="54"/>
      <c r="Y174" s="25"/>
      <c r="Z174" s="51"/>
    </row>
    <row r="175" spans="2:26">
      <c r="B175" s="44" t="s">
        <v>278</v>
      </c>
      <c r="C175" s="39" t="s">
        <v>219</v>
      </c>
      <c r="D175" s="40">
        <v>270</v>
      </c>
      <c r="E175" s="41">
        <f t="shared" si="12"/>
        <v>46000</v>
      </c>
      <c r="F175" s="47">
        <f t="shared" si="13"/>
        <v>12420000</v>
      </c>
      <c r="G175" s="270"/>
      <c r="H175" s="903"/>
      <c r="I175" s="729"/>
      <c r="J175" s="733"/>
      <c r="W175" s="54"/>
      <c r="Y175" s="25"/>
      <c r="Z175" s="51"/>
    </row>
    <row r="176" spans="2:26">
      <c r="B176" s="44" t="s">
        <v>278</v>
      </c>
      <c r="C176" s="39" t="s">
        <v>219</v>
      </c>
      <c r="D176" s="40">
        <v>309</v>
      </c>
      <c r="E176" s="41">
        <f t="shared" si="12"/>
        <v>46000</v>
      </c>
      <c r="F176" s="47">
        <f t="shared" si="13"/>
        <v>14214000</v>
      </c>
      <c r="G176" s="270"/>
      <c r="H176" s="903"/>
      <c r="I176" s="729"/>
      <c r="J176" s="733"/>
      <c r="W176" s="54"/>
      <c r="Y176" s="25"/>
      <c r="Z176" s="51"/>
    </row>
    <row r="177" spans="2:26">
      <c r="B177" s="900" t="s">
        <v>278</v>
      </c>
      <c r="C177" s="39" t="s">
        <v>226</v>
      </c>
      <c r="D177" s="40">
        <v>168</v>
      </c>
      <c r="E177" s="41">
        <f t="shared" si="12"/>
        <v>95500</v>
      </c>
      <c r="F177" s="47">
        <f t="shared" si="13"/>
        <v>16044000</v>
      </c>
      <c r="G177" s="270"/>
      <c r="H177" s="903"/>
      <c r="I177" s="729"/>
      <c r="J177" s="733"/>
      <c r="W177" s="54"/>
      <c r="Y177" s="25"/>
      <c r="Z177" s="51"/>
    </row>
    <row r="178" spans="2:26">
      <c r="B178" s="901"/>
      <c r="C178" s="39" t="s">
        <v>219</v>
      </c>
      <c r="D178" s="40">
        <v>257</v>
      </c>
      <c r="E178" s="41">
        <f t="shared" si="12"/>
        <v>46000</v>
      </c>
      <c r="F178" s="47">
        <f t="shared" si="13"/>
        <v>11822000</v>
      </c>
      <c r="G178" s="270"/>
      <c r="H178" s="903"/>
      <c r="I178" s="729"/>
      <c r="J178" s="733"/>
      <c r="W178" s="54"/>
      <c r="Y178" s="25"/>
      <c r="Z178" s="51"/>
    </row>
    <row r="179" spans="2:26">
      <c r="B179" s="44" t="s">
        <v>274</v>
      </c>
      <c r="C179" s="39" t="s">
        <v>219</v>
      </c>
      <c r="D179" s="40">
        <v>315</v>
      </c>
      <c r="E179" s="41">
        <f t="shared" si="12"/>
        <v>46000</v>
      </c>
      <c r="F179" s="47">
        <f t="shared" si="13"/>
        <v>14490000</v>
      </c>
      <c r="G179" s="270"/>
      <c r="H179" s="904"/>
      <c r="I179" s="730"/>
      <c r="J179" s="734"/>
      <c r="W179" s="54"/>
      <c r="Y179" s="25"/>
      <c r="Z179" s="51"/>
    </row>
    <row r="180" spans="2:26">
      <c r="B180" s="900" t="s">
        <v>274</v>
      </c>
      <c r="C180" s="39" t="s">
        <v>219</v>
      </c>
      <c r="D180" s="40">
        <v>225</v>
      </c>
      <c r="E180" s="41">
        <f t="shared" si="12"/>
        <v>46000</v>
      </c>
      <c r="F180" s="47">
        <f t="shared" si="13"/>
        <v>10350000</v>
      </c>
      <c r="G180" s="270"/>
      <c r="H180" s="902">
        <v>45143</v>
      </c>
      <c r="I180" s="728">
        <v>105316000</v>
      </c>
      <c r="J180" s="732" t="s">
        <v>218</v>
      </c>
      <c r="W180" s="54"/>
      <c r="Y180" s="25"/>
      <c r="Z180" s="51"/>
    </row>
    <row r="181" spans="2:26">
      <c r="B181" s="900"/>
      <c r="C181" s="39" t="s">
        <v>222</v>
      </c>
      <c r="D181" s="40">
        <v>200</v>
      </c>
      <c r="E181" s="41">
        <f t="shared" si="12"/>
        <v>14000</v>
      </c>
      <c r="F181" s="47">
        <f t="shared" si="13"/>
        <v>2800000</v>
      </c>
      <c r="G181" s="270"/>
      <c r="H181" s="903"/>
      <c r="I181" s="729"/>
      <c r="J181" s="733"/>
      <c r="W181" s="54"/>
      <c r="Y181" s="25"/>
      <c r="Z181" s="51"/>
    </row>
    <row r="182" spans="2:26">
      <c r="B182" s="901"/>
      <c r="C182" s="39" t="s">
        <v>224</v>
      </c>
      <c r="D182" s="40">
        <v>200</v>
      </c>
      <c r="E182" s="41">
        <f t="shared" si="12"/>
        <v>14000</v>
      </c>
      <c r="F182" s="47">
        <f t="shared" si="13"/>
        <v>2800000</v>
      </c>
      <c r="G182" s="270"/>
      <c r="H182" s="903"/>
      <c r="I182" s="729"/>
      <c r="J182" s="733"/>
      <c r="W182" s="54"/>
      <c r="Y182" s="25"/>
      <c r="Z182" s="51"/>
    </row>
    <row r="183" spans="2:26">
      <c r="B183" s="44" t="s">
        <v>275</v>
      </c>
      <c r="C183" s="39" t="s">
        <v>219</v>
      </c>
      <c r="D183" s="40">
        <v>327</v>
      </c>
      <c r="E183" s="41">
        <f t="shared" si="12"/>
        <v>46000</v>
      </c>
      <c r="F183" s="47">
        <f t="shared" si="13"/>
        <v>15042000</v>
      </c>
      <c r="G183" s="270"/>
      <c r="H183" s="903"/>
      <c r="I183" s="729"/>
      <c r="J183" s="733"/>
      <c r="W183" s="54"/>
      <c r="Y183" s="25"/>
      <c r="Z183" s="51"/>
    </row>
    <row r="184" spans="2:26">
      <c r="B184" s="44" t="s">
        <v>275</v>
      </c>
      <c r="C184" s="39" t="s">
        <v>219</v>
      </c>
      <c r="D184" s="40">
        <v>640</v>
      </c>
      <c r="E184" s="41">
        <f t="shared" si="12"/>
        <v>46000</v>
      </c>
      <c r="F184" s="47">
        <f t="shared" ref="F184:F190" si="14">IF(E184="-","-",D184*E184)</f>
        <v>29440000</v>
      </c>
      <c r="G184" s="270"/>
      <c r="H184" s="903"/>
      <c r="I184" s="729"/>
      <c r="J184" s="733"/>
      <c r="W184" s="54"/>
      <c r="Y184" s="25"/>
      <c r="Z184" s="51"/>
    </row>
    <row r="185" spans="2:26">
      <c r="B185" s="900" t="s">
        <v>275</v>
      </c>
      <c r="C185" s="39" t="s">
        <v>219</v>
      </c>
      <c r="D185" s="40">
        <v>246</v>
      </c>
      <c r="E185" s="41">
        <f t="shared" si="12"/>
        <v>46000</v>
      </c>
      <c r="F185" s="47">
        <f t="shared" si="14"/>
        <v>11316000</v>
      </c>
      <c r="G185" s="270"/>
      <c r="H185" s="903"/>
      <c r="I185" s="729"/>
      <c r="J185" s="733"/>
      <c r="W185" s="54"/>
      <c r="Y185" s="25"/>
      <c r="Z185" s="51"/>
    </row>
    <row r="186" spans="2:26">
      <c r="B186" s="900"/>
      <c r="C186" s="39" t="s">
        <v>222</v>
      </c>
      <c r="D186" s="40">
        <v>200</v>
      </c>
      <c r="E186" s="41">
        <f t="shared" si="12"/>
        <v>14000</v>
      </c>
      <c r="F186" s="47">
        <f t="shared" si="14"/>
        <v>2800000</v>
      </c>
      <c r="G186" s="270"/>
      <c r="H186" s="903"/>
      <c r="I186" s="729"/>
      <c r="J186" s="733"/>
      <c r="W186" s="54"/>
      <c r="Y186" s="25"/>
      <c r="Z186" s="51"/>
    </row>
    <row r="187" spans="2:26">
      <c r="B187" s="901"/>
      <c r="C187" s="39" t="s">
        <v>224</v>
      </c>
      <c r="D187" s="40">
        <v>200</v>
      </c>
      <c r="E187" s="41">
        <f t="shared" si="12"/>
        <v>14000</v>
      </c>
      <c r="F187" s="47">
        <f t="shared" si="14"/>
        <v>2800000</v>
      </c>
      <c r="G187" s="270"/>
      <c r="H187" s="903"/>
      <c r="I187" s="729"/>
      <c r="J187" s="733"/>
      <c r="W187" s="54"/>
      <c r="Y187" s="25"/>
      <c r="Z187" s="51"/>
    </row>
    <row r="188" spans="2:26">
      <c r="B188" s="44" t="s">
        <v>279</v>
      </c>
      <c r="C188" s="39" t="s">
        <v>219</v>
      </c>
      <c r="D188" s="40">
        <v>299</v>
      </c>
      <c r="E188" s="41">
        <f t="shared" si="12"/>
        <v>46000</v>
      </c>
      <c r="F188" s="47">
        <f t="shared" si="14"/>
        <v>13754000</v>
      </c>
      <c r="G188" s="270"/>
      <c r="H188" s="903"/>
      <c r="I188" s="729"/>
      <c r="J188" s="733"/>
      <c r="W188" s="54"/>
      <c r="Y188" s="25"/>
      <c r="Z188" s="51"/>
    </row>
    <row r="189" spans="2:26">
      <c r="B189" s="44" t="s">
        <v>279</v>
      </c>
      <c r="C189" s="39" t="s">
        <v>219</v>
      </c>
      <c r="D189" s="40">
        <v>309</v>
      </c>
      <c r="E189" s="41">
        <f t="shared" si="12"/>
        <v>46000</v>
      </c>
      <c r="F189" s="47">
        <f t="shared" si="14"/>
        <v>14214000</v>
      </c>
      <c r="G189" s="270"/>
      <c r="H189" s="904"/>
      <c r="I189" s="730"/>
      <c r="J189" s="734"/>
      <c r="W189" s="54"/>
      <c r="Y189" s="25"/>
      <c r="Z189" s="51"/>
    </row>
    <row r="190" spans="2:26">
      <c r="B190" s="44" t="s">
        <v>280</v>
      </c>
      <c r="C190" s="39" t="s">
        <v>219</v>
      </c>
      <c r="D190" s="40">
        <v>345</v>
      </c>
      <c r="E190" s="41">
        <f t="shared" si="12"/>
        <v>46000</v>
      </c>
      <c r="F190" s="47">
        <f t="shared" si="14"/>
        <v>15870000</v>
      </c>
      <c r="G190" s="270"/>
      <c r="H190" s="902">
        <v>45235</v>
      </c>
      <c r="I190" s="728">
        <v>105140000</v>
      </c>
      <c r="J190" s="732" t="s">
        <v>218</v>
      </c>
      <c r="W190" s="54"/>
      <c r="Y190" s="25"/>
      <c r="Z190" s="51"/>
    </row>
    <row r="191" spans="2:26">
      <c r="B191" s="44" t="s">
        <v>281</v>
      </c>
      <c r="C191" s="39" t="s">
        <v>219</v>
      </c>
      <c r="D191" s="40">
        <v>341</v>
      </c>
      <c r="E191" s="41">
        <f t="shared" si="12"/>
        <v>46000</v>
      </c>
      <c r="F191" s="47">
        <f t="shared" ref="F191:F197" si="15">IF(E191="-","-",D191*E191)</f>
        <v>15686000</v>
      </c>
      <c r="G191" s="270"/>
      <c r="H191" s="903"/>
      <c r="I191" s="729"/>
      <c r="J191" s="733"/>
      <c r="W191" s="54"/>
      <c r="Y191" s="25"/>
      <c r="Z191" s="51"/>
    </row>
    <row r="192" spans="2:26">
      <c r="B192" s="44" t="s">
        <v>281</v>
      </c>
      <c r="C192" s="39" t="s">
        <v>219</v>
      </c>
      <c r="D192" s="40">
        <v>315</v>
      </c>
      <c r="E192" s="41">
        <f t="shared" si="12"/>
        <v>46000</v>
      </c>
      <c r="F192" s="47">
        <f t="shared" si="15"/>
        <v>14490000</v>
      </c>
      <c r="G192" s="270"/>
      <c r="H192" s="903"/>
      <c r="I192" s="729"/>
      <c r="J192" s="733"/>
      <c r="W192" s="54"/>
      <c r="Y192" s="25"/>
      <c r="Z192" s="51"/>
    </row>
    <row r="193" spans="2:26">
      <c r="B193" s="44" t="s">
        <v>281</v>
      </c>
      <c r="C193" s="39" t="s">
        <v>219</v>
      </c>
      <c r="D193" s="40">
        <v>300</v>
      </c>
      <c r="E193" s="41">
        <f t="shared" si="12"/>
        <v>46000</v>
      </c>
      <c r="F193" s="47">
        <f t="shared" si="15"/>
        <v>13800000</v>
      </c>
      <c r="G193" s="270"/>
      <c r="H193" s="903"/>
      <c r="I193" s="729"/>
      <c r="J193" s="733"/>
      <c r="W193" s="54"/>
      <c r="Y193" s="25"/>
      <c r="Z193" s="51"/>
    </row>
    <row r="194" spans="2:26">
      <c r="B194" s="900" t="s">
        <v>277</v>
      </c>
      <c r="C194" s="39" t="s">
        <v>219</v>
      </c>
      <c r="D194" s="40">
        <v>217</v>
      </c>
      <c r="E194" s="41">
        <f t="shared" si="12"/>
        <v>46000</v>
      </c>
      <c r="F194" s="47">
        <f t="shared" si="15"/>
        <v>9982000</v>
      </c>
      <c r="G194" s="270"/>
      <c r="H194" s="903"/>
      <c r="I194" s="729"/>
      <c r="J194" s="733"/>
      <c r="W194" s="54"/>
      <c r="Y194" s="25"/>
      <c r="Z194" s="51"/>
    </row>
    <row r="195" spans="2:26">
      <c r="B195" s="901"/>
      <c r="C195" s="39" t="s">
        <v>226</v>
      </c>
      <c r="D195" s="40">
        <v>48</v>
      </c>
      <c r="E195" s="41">
        <f t="shared" ref="E195:E226" si="16">IFERROR(INDEX(daftar,MATCH(C195,nmdaftar,0),2),"-")</f>
        <v>95500</v>
      </c>
      <c r="F195" s="47">
        <f t="shared" si="15"/>
        <v>4584000</v>
      </c>
      <c r="G195" s="270"/>
      <c r="H195" s="903"/>
      <c r="I195" s="729"/>
      <c r="J195" s="733"/>
      <c r="W195" s="54"/>
      <c r="Y195" s="25"/>
      <c r="Z195" s="51"/>
    </row>
    <row r="196" spans="2:26">
      <c r="B196" s="44" t="s">
        <v>277</v>
      </c>
      <c r="C196" s="39" t="s">
        <v>219</v>
      </c>
      <c r="D196" s="40">
        <v>308</v>
      </c>
      <c r="E196" s="41">
        <f t="shared" si="16"/>
        <v>46000</v>
      </c>
      <c r="F196" s="47">
        <f t="shared" si="15"/>
        <v>14168000</v>
      </c>
      <c r="G196" s="270"/>
      <c r="H196" s="903"/>
      <c r="I196" s="729"/>
      <c r="J196" s="733"/>
      <c r="W196" s="54"/>
      <c r="Y196" s="25"/>
      <c r="Z196" s="51"/>
    </row>
    <row r="197" spans="2:26">
      <c r="B197" s="44" t="s">
        <v>282</v>
      </c>
      <c r="C197" s="39" t="s">
        <v>219</v>
      </c>
      <c r="D197" s="40">
        <v>360</v>
      </c>
      <c r="E197" s="41">
        <f t="shared" si="16"/>
        <v>46000</v>
      </c>
      <c r="F197" s="47">
        <f t="shared" si="15"/>
        <v>16560000</v>
      </c>
      <c r="G197" s="270"/>
      <c r="H197" s="904"/>
      <c r="I197" s="730"/>
      <c r="J197" s="734"/>
      <c r="W197" s="54"/>
      <c r="Y197" s="25"/>
      <c r="Z197" s="51"/>
    </row>
    <row r="198" spans="2:26">
      <c r="B198" s="44">
        <v>44931</v>
      </c>
      <c r="C198" s="39" t="s">
        <v>219</v>
      </c>
      <c r="D198" s="40">
        <v>330</v>
      </c>
      <c r="E198" s="41">
        <f t="shared" si="16"/>
        <v>46000</v>
      </c>
      <c r="F198" s="47">
        <f t="shared" ref="F198:F209" si="17">IF(E198="-","-",D198*E198)</f>
        <v>15180000</v>
      </c>
      <c r="G198" s="270"/>
      <c r="H198" s="905" t="s">
        <v>283</v>
      </c>
      <c r="I198" s="728">
        <v>47480000</v>
      </c>
      <c r="J198" s="732" t="s">
        <v>218</v>
      </c>
      <c r="W198" s="54"/>
      <c r="Y198" s="25"/>
      <c r="Z198" s="51"/>
    </row>
    <row r="199" spans="2:26">
      <c r="B199" s="44">
        <v>44931</v>
      </c>
      <c r="C199" s="39" t="s">
        <v>219</v>
      </c>
      <c r="D199" s="40">
        <v>320</v>
      </c>
      <c r="E199" s="41">
        <f t="shared" si="16"/>
        <v>46000</v>
      </c>
      <c r="F199" s="47">
        <f t="shared" si="17"/>
        <v>14720000</v>
      </c>
      <c r="G199" s="270"/>
      <c r="H199" s="906"/>
      <c r="I199" s="729"/>
      <c r="J199" s="733"/>
      <c r="W199" s="54"/>
      <c r="Y199" s="25"/>
      <c r="Z199" s="51"/>
    </row>
    <row r="200" spans="2:26">
      <c r="B200" s="900">
        <v>44931</v>
      </c>
      <c r="C200" s="39" t="s">
        <v>219</v>
      </c>
      <c r="D200" s="40">
        <v>335</v>
      </c>
      <c r="E200" s="41">
        <f t="shared" si="16"/>
        <v>46000</v>
      </c>
      <c r="F200" s="47">
        <f t="shared" si="17"/>
        <v>15410000</v>
      </c>
      <c r="G200" s="270"/>
      <c r="H200" s="906"/>
      <c r="I200" s="729"/>
      <c r="J200" s="733"/>
      <c r="W200" s="54"/>
      <c r="Y200" s="25"/>
      <c r="Z200" s="51"/>
    </row>
    <row r="201" spans="2:26">
      <c r="B201" s="901"/>
      <c r="C201" s="39" t="s">
        <v>222</v>
      </c>
      <c r="D201" s="40">
        <v>155</v>
      </c>
      <c r="E201" s="41">
        <f t="shared" si="16"/>
        <v>14000</v>
      </c>
      <c r="F201" s="47">
        <f t="shared" si="17"/>
        <v>2170000</v>
      </c>
      <c r="G201" s="270"/>
      <c r="H201" s="907"/>
      <c r="I201" s="730"/>
      <c r="J201" s="734"/>
      <c r="W201" s="54"/>
      <c r="Y201" s="25"/>
      <c r="Z201" s="51"/>
    </row>
    <row r="202" spans="2:26">
      <c r="B202" s="900">
        <v>44931</v>
      </c>
      <c r="C202" s="39" t="s">
        <v>220</v>
      </c>
      <c r="D202" s="40">
        <v>365</v>
      </c>
      <c r="E202" s="41">
        <f t="shared" si="16"/>
        <v>27000</v>
      </c>
      <c r="F202" s="47">
        <f t="shared" si="17"/>
        <v>9855000</v>
      </c>
      <c r="G202" s="270"/>
      <c r="H202" s="905" t="s">
        <v>284</v>
      </c>
      <c r="I202" s="728">
        <v>109788000</v>
      </c>
      <c r="J202" s="732" t="s">
        <v>218</v>
      </c>
      <c r="W202" s="54"/>
      <c r="Y202" s="25"/>
      <c r="Z202" s="51"/>
    </row>
    <row r="203" spans="2:26">
      <c r="B203" s="900"/>
      <c r="C203" s="39" t="s">
        <v>219</v>
      </c>
      <c r="D203" s="40">
        <v>30</v>
      </c>
      <c r="E203" s="41">
        <f t="shared" si="16"/>
        <v>46000</v>
      </c>
      <c r="F203" s="47">
        <f t="shared" si="17"/>
        <v>1380000</v>
      </c>
      <c r="G203" s="270"/>
      <c r="H203" s="906"/>
      <c r="I203" s="729"/>
      <c r="J203" s="733"/>
      <c r="W203" s="54"/>
      <c r="Y203" s="25"/>
      <c r="Z203" s="51"/>
    </row>
    <row r="204" spans="2:26">
      <c r="B204" s="901"/>
      <c r="C204" s="39" t="s">
        <v>226</v>
      </c>
      <c r="D204" s="40">
        <v>34</v>
      </c>
      <c r="E204" s="41">
        <f t="shared" si="16"/>
        <v>95500</v>
      </c>
      <c r="F204" s="47">
        <f t="shared" si="17"/>
        <v>3247000</v>
      </c>
      <c r="G204" s="270"/>
      <c r="H204" s="906"/>
      <c r="I204" s="729"/>
      <c r="J204" s="733"/>
      <c r="W204" s="54"/>
      <c r="Y204" s="25"/>
      <c r="Z204" s="51"/>
    </row>
    <row r="205" spans="2:26">
      <c r="B205" s="44">
        <v>44962</v>
      </c>
      <c r="C205" s="39" t="s">
        <v>219</v>
      </c>
      <c r="D205" s="40">
        <v>304</v>
      </c>
      <c r="E205" s="41">
        <f t="shared" si="16"/>
        <v>46000</v>
      </c>
      <c r="F205" s="47">
        <f t="shared" si="17"/>
        <v>13984000</v>
      </c>
      <c r="G205" s="270"/>
      <c r="H205" s="906"/>
      <c r="I205" s="729"/>
      <c r="J205" s="733"/>
      <c r="W205" s="54"/>
      <c r="Y205" s="25"/>
      <c r="Z205" s="51"/>
    </row>
    <row r="206" spans="2:26">
      <c r="B206" s="900">
        <v>44962</v>
      </c>
      <c r="C206" s="39" t="s">
        <v>219</v>
      </c>
      <c r="D206" s="40">
        <v>213</v>
      </c>
      <c r="E206" s="41">
        <f t="shared" si="16"/>
        <v>46000</v>
      </c>
      <c r="F206" s="47">
        <f t="shared" si="17"/>
        <v>9798000</v>
      </c>
      <c r="G206" s="270"/>
      <c r="H206" s="906"/>
      <c r="I206" s="729"/>
      <c r="J206" s="733"/>
      <c r="W206" s="54"/>
      <c r="Y206" s="25"/>
      <c r="Z206" s="51"/>
    </row>
    <row r="207" spans="2:26">
      <c r="B207" s="901"/>
      <c r="C207" s="39" t="s">
        <v>222</v>
      </c>
      <c r="D207" s="40">
        <v>200</v>
      </c>
      <c r="E207" s="41">
        <f t="shared" si="16"/>
        <v>14000</v>
      </c>
      <c r="F207" s="47">
        <f t="shared" si="17"/>
        <v>2800000</v>
      </c>
      <c r="G207" s="270"/>
      <c r="H207" s="906"/>
      <c r="I207" s="729"/>
      <c r="J207" s="733"/>
      <c r="W207" s="54"/>
      <c r="Y207" s="25"/>
      <c r="Z207" s="51"/>
    </row>
    <row r="208" spans="2:26">
      <c r="B208" s="44">
        <v>44990</v>
      </c>
      <c r="C208" s="39" t="s">
        <v>219</v>
      </c>
      <c r="D208" s="40">
        <v>310</v>
      </c>
      <c r="E208" s="41">
        <f t="shared" si="16"/>
        <v>46000</v>
      </c>
      <c r="F208" s="47">
        <f t="shared" si="17"/>
        <v>14260000</v>
      </c>
      <c r="G208" s="270"/>
      <c r="H208" s="906"/>
      <c r="I208" s="729"/>
      <c r="J208" s="733"/>
      <c r="W208" s="54"/>
      <c r="Y208" s="25"/>
      <c r="Z208" s="51"/>
    </row>
    <row r="209" spans="2:26">
      <c r="B209" s="44">
        <v>44990</v>
      </c>
      <c r="C209" s="39" t="s">
        <v>219</v>
      </c>
      <c r="D209" s="40">
        <v>275</v>
      </c>
      <c r="E209" s="41">
        <f t="shared" si="16"/>
        <v>46000</v>
      </c>
      <c r="F209" s="47">
        <f t="shared" si="17"/>
        <v>12650000</v>
      </c>
      <c r="G209" s="270"/>
      <c r="H209" s="906"/>
      <c r="I209" s="729"/>
      <c r="J209" s="733"/>
      <c r="W209" s="54"/>
      <c r="Y209" s="25"/>
      <c r="Z209" s="51"/>
    </row>
    <row r="210" spans="2:26">
      <c r="B210" s="44">
        <v>45021</v>
      </c>
      <c r="C210" s="39" t="s">
        <v>219</v>
      </c>
      <c r="D210" s="40">
        <v>635</v>
      </c>
      <c r="E210" s="41">
        <f t="shared" si="16"/>
        <v>46000</v>
      </c>
      <c r="F210" s="47">
        <f t="shared" ref="F210:F223" si="18">IF(E210="-","-",D210*E210)</f>
        <v>29210000</v>
      </c>
      <c r="G210" s="270"/>
      <c r="H210" s="906"/>
      <c r="I210" s="729"/>
      <c r="J210" s="733"/>
      <c r="W210" s="54"/>
      <c r="Y210" s="25"/>
      <c r="Z210" s="51"/>
    </row>
    <row r="211" spans="2:26">
      <c r="B211" s="44">
        <v>45021</v>
      </c>
      <c r="C211" s="39" t="s">
        <v>219</v>
      </c>
      <c r="D211" s="40">
        <v>274</v>
      </c>
      <c r="E211" s="41">
        <f t="shared" si="16"/>
        <v>46000</v>
      </c>
      <c r="F211" s="47">
        <f t="shared" si="18"/>
        <v>12604000</v>
      </c>
      <c r="G211" s="270"/>
      <c r="H211" s="907"/>
      <c r="I211" s="730"/>
      <c r="J211" s="734"/>
      <c r="W211" s="54"/>
      <c r="Y211" s="25"/>
      <c r="Z211" s="51"/>
    </row>
    <row r="212" spans="2:26">
      <c r="B212" s="44">
        <v>45051</v>
      </c>
      <c r="C212" s="39" t="s">
        <v>219</v>
      </c>
      <c r="D212" s="40">
        <v>276</v>
      </c>
      <c r="E212" s="41">
        <f t="shared" si="16"/>
        <v>46000</v>
      </c>
      <c r="F212" s="47">
        <f t="shared" si="18"/>
        <v>12696000</v>
      </c>
      <c r="G212" s="270"/>
      <c r="H212" s="905" t="s">
        <v>285</v>
      </c>
      <c r="I212" s="728">
        <v>109542000</v>
      </c>
      <c r="J212" s="732" t="s">
        <v>218</v>
      </c>
      <c r="W212" s="54"/>
      <c r="Y212" s="25"/>
      <c r="Z212" s="51"/>
    </row>
    <row r="213" spans="2:26">
      <c r="B213" s="44">
        <v>45051</v>
      </c>
      <c r="C213" s="39" t="s">
        <v>219</v>
      </c>
      <c r="D213" s="40">
        <v>320</v>
      </c>
      <c r="E213" s="41">
        <f t="shared" si="16"/>
        <v>46000</v>
      </c>
      <c r="F213" s="47">
        <f t="shared" si="18"/>
        <v>14720000</v>
      </c>
      <c r="G213" s="270"/>
      <c r="H213" s="906"/>
      <c r="I213" s="729"/>
      <c r="J213" s="733"/>
      <c r="W213" s="54"/>
      <c r="Y213" s="25"/>
      <c r="Z213" s="51"/>
    </row>
    <row r="214" spans="2:26">
      <c r="B214" s="44">
        <v>45082</v>
      </c>
      <c r="C214" s="39" t="s">
        <v>219</v>
      </c>
      <c r="D214" s="40">
        <v>360</v>
      </c>
      <c r="E214" s="41">
        <f t="shared" si="16"/>
        <v>46000</v>
      </c>
      <c r="F214" s="47">
        <f t="shared" si="18"/>
        <v>16560000</v>
      </c>
      <c r="G214" s="270"/>
      <c r="H214" s="906"/>
      <c r="I214" s="729"/>
      <c r="J214" s="733"/>
      <c r="W214" s="54"/>
      <c r="Y214" s="25"/>
      <c r="Z214" s="51"/>
    </row>
    <row r="215" spans="2:26">
      <c r="B215" s="44">
        <v>45082</v>
      </c>
      <c r="C215" s="39" t="s">
        <v>219</v>
      </c>
      <c r="D215" s="40">
        <v>638</v>
      </c>
      <c r="E215" s="41">
        <f t="shared" si="16"/>
        <v>46000</v>
      </c>
      <c r="F215" s="47">
        <f t="shared" si="18"/>
        <v>29348000</v>
      </c>
      <c r="G215" s="270"/>
      <c r="H215" s="906"/>
      <c r="I215" s="729"/>
      <c r="J215" s="733"/>
      <c r="W215" s="54"/>
      <c r="Y215" s="25"/>
      <c r="Z215" s="51"/>
    </row>
    <row r="216" spans="2:26">
      <c r="B216" s="900">
        <v>45082</v>
      </c>
      <c r="C216" s="39" t="s">
        <v>219</v>
      </c>
      <c r="D216" s="40">
        <v>483</v>
      </c>
      <c r="E216" s="41">
        <f t="shared" si="16"/>
        <v>46000</v>
      </c>
      <c r="F216" s="47">
        <f t="shared" si="18"/>
        <v>22218000</v>
      </c>
      <c r="G216" s="270"/>
      <c r="H216" s="906"/>
      <c r="I216" s="729"/>
      <c r="J216" s="733"/>
      <c r="W216" s="54"/>
      <c r="Y216" s="25"/>
      <c r="Z216" s="51"/>
    </row>
    <row r="217" spans="2:26">
      <c r="B217" s="900"/>
      <c r="C217" s="39" t="s">
        <v>222</v>
      </c>
      <c r="D217" s="40">
        <v>600</v>
      </c>
      <c r="E217" s="41">
        <f t="shared" si="16"/>
        <v>14000</v>
      </c>
      <c r="F217" s="47">
        <f t="shared" si="18"/>
        <v>8400000</v>
      </c>
      <c r="G217" s="270"/>
      <c r="H217" s="906"/>
      <c r="I217" s="729"/>
      <c r="J217" s="733"/>
      <c r="W217" s="54"/>
      <c r="Y217" s="25"/>
      <c r="Z217" s="51"/>
    </row>
    <row r="218" spans="2:26">
      <c r="B218" s="901"/>
      <c r="C218" s="39" t="s">
        <v>224</v>
      </c>
      <c r="D218" s="40">
        <v>400</v>
      </c>
      <c r="E218" s="41">
        <f t="shared" si="16"/>
        <v>14000</v>
      </c>
      <c r="F218" s="47">
        <f t="shared" si="18"/>
        <v>5600000</v>
      </c>
      <c r="G218" s="270"/>
      <c r="H218" s="907"/>
      <c r="I218" s="730"/>
      <c r="J218" s="734"/>
      <c r="W218" s="54"/>
      <c r="Y218" s="25"/>
      <c r="Z218" s="51"/>
    </row>
    <row r="219" spans="2:26">
      <c r="B219" s="44">
        <v>45112</v>
      </c>
      <c r="C219" s="39" t="s">
        <v>219</v>
      </c>
      <c r="D219" s="40">
        <v>640</v>
      </c>
      <c r="E219" s="41">
        <f t="shared" si="16"/>
        <v>46000</v>
      </c>
      <c r="F219" s="47">
        <f t="shared" si="18"/>
        <v>29440000</v>
      </c>
      <c r="G219" s="270"/>
      <c r="H219" s="905" t="s">
        <v>286</v>
      </c>
      <c r="I219" s="728">
        <v>32782500</v>
      </c>
      <c r="J219" s="732" t="s">
        <v>218</v>
      </c>
      <c r="W219" s="54"/>
      <c r="Y219" s="25"/>
      <c r="Z219" s="51"/>
    </row>
    <row r="220" spans="2:26">
      <c r="B220" s="44"/>
      <c r="C220" s="39" t="s">
        <v>226</v>
      </c>
      <c r="D220" s="40">
        <v>35</v>
      </c>
      <c r="E220" s="41">
        <f t="shared" si="16"/>
        <v>95500</v>
      </c>
      <c r="F220" s="47">
        <f t="shared" si="18"/>
        <v>3342500</v>
      </c>
      <c r="G220" s="270"/>
      <c r="H220" s="907"/>
      <c r="I220" s="730"/>
      <c r="J220" s="734"/>
      <c r="W220" s="54"/>
      <c r="Y220" s="25"/>
      <c r="Z220" s="51"/>
    </row>
    <row r="221" spans="2:26">
      <c r="B221" s="44">
        <v>45143</v>
      </c>
      <c r="C221" s="39" t="s">
        <v>219</v>
      </c>
      <c r="D221" s="40">
        <v>640</v>
      </c>
      <c r="E221" s="41">
        <f t="shared" si="16"/>
        <v>46000</v>
      </c>
      <c r="F221" s="47">
        <f t="shared" si="18"/>
        <v>29440000</v>
      </c>
      <c r="G221" s="270"/>
      <c r="H221" s="905" t="s">
        <v>287</v>
      </c>
      <c r="I221" s="728">
        <v>86819000</v>
      </c>
      <c r="J221" s="732" t="s">
        <v>218</v>
      </c>
      <c r="W221" s="54"/>
      <c r="Y221" s="25"/>
      <c r="Z221" s="51"/>
    </row>
    <row r="222" spans="2:26">
      <c r="B222" s="44">
        <v>45174</v>
      </c>
      <c r="C222" s="39" t="s">
        <v>219</v>
      </c>
      <c r="D222" s="40">
        <v>305</v>
      </c>
      <c r="E222" s="41">
        <f t="shared" si="16"/>
        <v>46000</v>
      </c>
      <c r="F222" s="47">
        <f t="shared" si="18"/>
        <v>14030000</v>
      </c>
      <c r="G222" s="270"/>
      <c r="H222" s="906"/>
      <c r="I222" s="729"/>
      <c r="J222" s="733"/>
      <c r="W222" s="54"/>
      <c r="Y222" s="25"/>
      <c r="Z222" s="51"/>
    </row>
    <row r="223" spans="2:26">
      <c r="B223" s="44">
        <v>45174</v>
      </c>
      <c r="C223" s="39" t="s">
        <v>219</v>
      </c>
      <c r="D223" s="40">
        <v>320</v>
      </c>
      <c r="E223" s="41">
        <f t="shared" si="16"/>
        <v>46000</v>
      </c>
      <c r="F223" s="47">
        <f t="shared" si="18"/>
        <v>14720000</v>
      </c>
      <c r="G223" s="270"/>
      <c r="H223" s="906"/>
      <c r="I223" s="729"/>
      <c r="J223" s="733"/>
      <c r="W223" s="54"/>
      <c r="Y223" s="25"/>
      <c r="Z223" s="51"/>
    </row>
    <row r="224" spans="2:26">
      <c r="B224" s="900">
        <v>45204</v>
      </c>
      <c r="C224" s="39" t="s">
        <v>219</v>
      </c>
      <c r="D224" s="40">
        <v>394</v>
      </c>
      <c r="E224" s="41">
        <f t="shared" si="16"/>
        <v>46000</v>
      </c>
      <c r="F224" s="47">
        <f t="shared" ref="F224:F233" si="19">IF(E224="-","-",D224*E224)</f>
        <v>18124000</v>
      </c>
      <c r="G224" s="270"/>
      <c r="H224" s="906"/>
      <c r="I224" s="729"/>
      <c r="J224" s="733"/>
      <c r="W224" s="54"/>
      <c r="Y224" s="25"/>
      <c r="Z224" s="51"/>
    </row>
    <row r="225" spans="2:26">
      <c r="B225" s="901"/>
      <c r="C225" s="39" t="s">
        <v>226</v>
      </c>
      <c r="D225" s="40">
        <v>110</v>
      </c>
      <c r="E225" s="41">
        <f t="shared" si="16"/>
        <v>95500</v>
      </c>
      <c r="F225" s="47">
        <f t="shared" si="19"/>
        <v>10505000</v>
      </c>
      <c r="G225" s="270"/>
      <c r="H225" s="907"/>
      <c r="I225" s="730"/>
      <c r="J225" s="734"/>
      <c r="W225" s="54"/>
      <c r="Y225" s="25"/>
      <c r="Z225" s="51"/>
    </row>
    <row r="226" spans="2:26">
      <c r="B226" s="44">
        <v>45204</v>
      </c>
      <c r="C226" s="39" t="s">
        <v>219</v>
      </c>
      <c r="D226" s="40">
        <v>312</v>
      </c>
      <c r="E226" s="41">
        <f t="shared" si="16"/>
        <v>46000</v>
      </c>
      <c r="F226" s="47">
        <f t="shared" si="19"/>
        <v>14352000</v>
      </c>
      <c r="G226" s="270"/>
      <c r="H226" s="905" t="s">
        <v>288</v>
      </c>
      <c r="I226" s="917">
        <v>101936000</v>
      </c>
      <c r="J226" s="732" t="s">
        <v>218</v>
      </c>
      <c r="W226" s="54"/>
      <c r="Y226" s="25"/>
      <c r="Z226" s="51"/>
    </row>
    <row r="227" spans="2:26">
      <c r="B227" s="44">
        <v>45204</v>
      </c>
      <c r="C227" s="39" t="s">
        <v>219</v>
      </c>
      <c r="D227" s="40">
        <v>309</v>
      </c>
      <c r="E227" s="41">
        <f t="shared" ref="E227:E238" si="20">IFERROR(INDEX(daftar,MATCH(C227,nmdaftar,0),2),"-")</f>
        <v>46000</v>
      </c>
      <c r="F227" s="47">
        <f t="shared" si="19"/>
        <v>14214000</v>
      </c>
      <c r="G227" s="270"/>
      <c r="H227" s="906"/>
      <c r="I227" s="918"/>
      <c r="J227" s="733"/>
      <c r="W227" s="54"/>
      <c r="Y227" s="25"/>
      <c r="Z227" s="51"/>
    </row>
    <row r="228" spans="2:26">
      <c r="B228" s="44">
        <v>45235</v>
      </c>
      <c r="C228" s="39" t="s">
        <v>219</v>
      </c>
      <c r="D228" s="40">
        <v>640</v>
      </c>
      <c r="E228" s="41">
        <f t="shared" si="20"/>
        <v>46000</v>
      </c>
      <c r="F228" s="47">
        <f t="shared" si="19"/>
        <v>29440000</v>
      </c>
      <c r="G228" s="270"/>
      <c r="H228" s="906"/>
      <c r="I228" s="918"/>
      <c r="J228" s="733"/>
      <c r="W228" s="54"/>
      <c r="Y228" s="25"/>
      <c r="Z228" s="51"/>
    </row>
    <row r="229" spans="2:26">
      <c r="B229" s="44">
        <v>45235</v>
      </c>
      <c r="C229" s="39" t="s">
        <v>219</v>
      </c>
      <c r="D229" s="40">
        <v>304</v>
      </c>
      <c r="E229" s="41">
        <f t="shared" si="20"/>
        <v>46000</v>
      </c>
      <c r="F229" s="47">
        <f t="shared" si="19"/>
        <v>13984000</v>
      </c>
      <c r="G229" s="270"/>
      <c r="H229" s="906"/>
      <c r="I229" s="918"/>
      <c r="J229" s="733"/>
      <c r="W229" s="54"/>
      <c r="Y229" s="25"/>
      <c r="Z229" s="51"/>
    </row>
    <row r="230" spans="2:26">
      <c r="B230" s="44">
        <v>45265</v>
      </c>
      <c r="C230" s="39" t="s">
        <v>219</v>
      </c>
      <c r="D230" s="40">
        <v>651</v>
      </c>
      <c r="E230" s="41">
        <f t="shared" si="20"/>
        <v>46000</v>
      </c>
      <c r="F230" s="47">
        <f t="shared" si="19"/>
        <v>29946000</v>
      </c>
      <c r="G230" s="270"/>
      <c r="H230" s="907"/>
      <c r="I230" s="919"/>
      <c r="J230" s="734"/>
      <c r="W230" s="54"/>
      <c r="Y230" s="25"/>
      <c r="Z230" s="51"/>
    </row>
    <row r="231" spans="2:26">
      <c r="B231" s="44" t="s">
        <v>289</v>
      </c>
      <c r="C231" s="39" t="s">
        <v>219</v>
      </c>
      <c r="D231" s="40">
        <v>633</v>
      </c>
      <c r="E231" s="41">
        <f t="shared" si="20"/>
        <v>46000</v>
      </c>
      <c r="F231" s="47">
        <f t="shared" si="19"/>
        <v>29118000</v>
      </c>
      <c r="G231" s="270"/>
      <c r="H231" s="905" t="s">
        <v>290</v>
      </c>
      <c r="I231" s="728">
        <v>59800000</v>
      </c>
      <c r="J231" s="732" t="s">
        <v>218</v>
      </c>
      <c r="W231" s="54"/>
      <c r="Y231" s="25"/>
      <c r="Z231" s="51"/>
    </row>
    <row r="232" spans="2:26">
      <c r="B232" s="44" t="s">
        <v>283</v>
      </c>
      <c r="C232" s="39" t="s">
        <v>219</v>
      </c>
      <c r="D232" s="40">
        <v>667</v>
      </c>
      <c r="E232" s="41">
        <f t="shared" si="20"/>
        <v>46000</v>
      </c>
      <c r="F232" s="47">
        <f t="shared" si="19"/>
        <v>30682000</v>
      </c>
      <c r="G232" s="270"/>
      <c r="H232" s="907"/>
      <c r="I232" s="730"/>
      <c r="J232" s="734"/>
      <c r="W232" s="54"/>
      <c r="Y232" s="25"/>
      <c r="Z232" s="51"/>
    </row>
    <row r="233" spans="2:26">
      <c r="B233" s="44" t="s">
        <v>291</v>
      </c>
      <c r="C233" s="39" t="s">
        <v>219</v>
      </c>
      <c r="D233" s="40">
        <v>667</v>
      </c>
      <c r="E233" s="41">
        <f t="shared" si="20"/>
        <v>46000</v>
      </c>
      <c r="F233" s="47">
        <f t="shared" si="19"/>
        <v>30682000</v>
      </c>
      <c r="G233" s="270"/>
      <c r="H233" s="905" t="s">
        <v>292</v>
      </c>
      <c r="I233" s="728">
        <v>44482000</v>
      </c>
      <c r="J233" s="923" t="s">
        <v>218</v>
      </c>
      <c r="W233" s="54"/>
      <c r="Y233" s="25"/>
      <c r="Z233" s="51"/>
    </row>
    <row r="234" spans="2:26">
      <c r="B234" s="44" t="s">
        <v>284</v>
      </c>
      <c r="C234" s="39" t="s">
        <v>219</v>
      </c>
      <c r="D234" s="40">
        <v>300</v>
      </c>
      <c r="E234" s="41">
        <f t="shared" si="20"/>
        <v>46000</v>
      </c>
      <c r="F234" s="47">
        <f t="shared" ref="F234:F245" si="21">IF(E234="-","-",D234*E234)</f>
        <v>13800000</v>
      </c>
      <c r="G234" s="270"/>
      <c r="H234" s="907"/>
      <c r="I234" s="730"/>
      <c r="J234" s="923"/>
      <c r="W234" s="54"/>
      <c r="Y234" s="25"/>
      <c r="Z234" s="51"/>
    </row>
    <row r="235" spans="2:26">
      <c r="B235" s="44" t="s">
        <v>284</v>
      </c>
      <c r="C235" s="39" t="s">
        <v>219</v>
      </c>
      <c r="D235" s="40">
        <v>674</v>
      </c>
      <c r="E235" s="41">
        <f t="shared" si="20"/>
        <v>46000</v>
      </c>
      <c r="F235" s="47">
        <f t="shared" si="21"/>
        <v>31004000</v>
      </c>
      <c r="G235" s="270"/>
      <c r="H235" s="902">
        <v>45083</v>
      </c>
      <c r="I235" s="917">
        <v>108660000</v>
      </c>
      <c r="J235" s="732" t="s">
        <v>218</v>
      </c>
      <c r="W235" s="54"/>
      <c r="Y235" s="25"/>
      <c r="Z235" s="51"/>
    </row>
    <row r="236" spans="2:26">
      <c r="B236" s="44" t="s">
        <v>293</v>
      </c>
      <c r="C236" s="39" t="s">
        <v>219</v>
      </c>
      <c r="D236" s="40">
        <v>657</v>
      </c>
      <c r="E236" s="41">
        <f t="shared" si="20"/>
        <v>46000</v>
      </c>
      <c r="F236" s="47">
        <f t="shared" si="21"/>
        <v>30222000</v>
      </c>
      <c r="G236" s="270"/>
      <c r="H236" s="903"/>
      <c r="I236" s="918"/>
      <c r="J236" s="733"/>
      <c r="W236" s="54"/>
      <c r="Y236" s="25"/>
      <c r="Z236" s="51"/>
    </row>
    <row r="237" spans="2:26">
      <c r="B237" s="899" t="s">
        <v>293</v>
      </c>
      <c r="C237" s="39" t="s">
        <v>219</v>
      </c>
      <c r="D237" s="40">
        <v>211</v>
      </c>
      <c r="E237" s="41">
        <f t="shared" si="20"/>
        <v>46000</v>
      </c>
      <c r="F237" s="47">
        <f t="shared" si="21"/>
        <v>9706000</v>
      </c>
      <c r="G237" s="270"/>
      <c r="H237" s="903"/>
      <c r="I237" s="918"/>
      <c r="J237" s="733"/>
      <c r="W237" s="54"/>
      <c r="Y237" s="25"/>
      <c r="Z237" s="51"/>
    </row>
    <row r="238" spans="2:26">
      <c r="B238" s="901"/>
      <c r="C238" s="39" t="s">
        <v>222</v>
      </c>
      <c r="D238" s="40">
        <v>500</v>
      </c>
      <c r="E238" s="41">
        <f t="shared" si="20"/>
        <v>14000</v>
      </c>
      <c r="F238" s="47">
        <f t="shared" si="21"/>
        <v>7000000</v>
      </c>
      <c r="G238" s="270"/>
      <c r="H238" s="903"/>
      <c r="I238" s="918"/>
      <c r="J238" s="733"/>
      <c r="W238" s="54"/>
      <c r="Y238" s="25"/>
      <c r="Z238" s="51"/>
    </row>
    <row r="239" spans="2:26">
      <c r="B239" s="44" t="s">
        <v>294</v>
      </c>
      <c r="C239" s="39" t="s">
        <v>219</v>
      </c>
      <c r="D239" s="40">
        <v>668</v>
      </c>
      <c r="E239" s="41">
        <f t="shared" ref="E239:E244" si="22">IFERROR(INDEX(daftar,MATCH(C239,nmdaftar,0),2),"-")</f>
        <v>46000</v>
      </c>
      <c r="F239" s="47">
        <f t="shared" ref="F239:F244" si="23">IF(E239="-","-",D239*E239)</f>
        <v>30728000</v>
      </c>
      <c r="G239" s="270"/>
      <c r="H239" s="904"/>
      <c r="I239" s="919"/>
      <c r="J239" s="734"/>
      <c r="W239" s="54"/>
      <c r="Y239" s="25"/>
      <c r="Z239" s="51"/>
    </row>
    <row r="240" spans="2:26">
      <c r="B240" s="44" t="s">
        <v>286</v>
      </c>
      <c r="C240" s="39" t="s">
        <v>219</v>
      </c>
      <c r="D240" s="40">
        <v>650</v>
      </c>
      <c r="E240" s="41">
        <f t="shared" si="22"/>
        <v>46000</v>
      </c>
      <c r="F240" s="47">
        <f t="shared" si="23"/>
        <v>29900000</v>
      </c>
      <c r="G240" s="270"/>
      <c r="H240" s="905" t="s">
        <v>295</v>
      </c>
      <c r="I240" s="917">
        <v>115203000</v>
      </c>
      <c r="J240" s="732" t="s">
        <v>218</v>
      </c>
      <c r="W240" s="54"/>
      <c r="Y240" s="25"/>
      <c r="Z240" s="51"/>
    </row>
    <row r="241" spans="2:26">
      <c r="B241" s="44" t="s">
        <v>286</v>
      </c>
      <c r="C241" s="39" t="s">
        <v>219</v>
      </c>
      <c r="D241" s="40">
        <v>727</v>
      </c>
      <c r="E241" s="41">
        <f t="shared" si="22"/>
        <v>46000</v>
      </c>
      <c r="F241" s="47">
        <f t="shared" si="23"/>
        <v>33442000</v>
      </c>
      <c r="G241" s="270"/>
      <c r="H241" s="906"/>
      <c r="I241" s="918"/>
      <c r="J241" s="733"/>
      <c r="W241" s="54"/>
      <c r="Y241" s="25"/>
      <c r="Z241" s="51"/>
    </row>
    <row r="242" spans="2:26">
      <c r="B242" s="900" t="s">
        <v>286</v>
      </c>
      <c r="C242" s="39" t="s">
        <v>219</v>
      </c>
      <c r="D242" s="40">
        <v>135</v>
      </c>
      <c r="E242" s="41">
        <f t="shared" si="22"/>
        <v>46000</v>
      </c>
      <c r="F242" s="47">
        <f t="shared" si="23"/>
        <v>6210000</v>
      </c>
      <c r="G242" s="270"/>
      <c r="H242" s="906"/>
      <c r="I242" s="918"/>
      <c r="J242" s="733"/>
      <c r="W242" s="54"/>
      <c r="Y242" s="25"/>
      <c r="Z242" s="51"/>
    </row>
    <row r="243" spans="2:26">
      <c r="B243" s="901"/>
      <c r="C243" s="39" t="s">
        <v>226</v>
      </c>
      <c r="D243" s="40">
        <v>121</v>
      </c>
      <c r="E243" s="41">
        <f t="shared" si="22"/>
        <v>95500</v>
      </c>
      <c r="F243" s="47">
        <f t="shared" si="23"/>
        <v>11555500</v>
      </c>
      <c r="G243" s="270"/>
      <c r="H243" s="906"/>
      <c r="I243" s="918"/>
      <c r="J243" s="733"/>
      <c r="W243" s="54"/>
      <c r="Y243" s="25"/>
      <c r="Z243" s="51"/>
    </row>
    <row r="244" spans="2:26">
      <c r="B244" s="900" t="s">
        <v>288</v>
      </c>
      <c r="C244" s="39" t="s">
        <v>219</v>
      </c>
      <c r="D244" s="40">
        <v>490</v>
      </c>
      <c r="E244" s="41">
        <f t="shared" si="22"/>
        <v>46000</v>
      </c>
      <c r="F244" s="47">
        <f t="shared" si="23"/>
        <v>22540000</v>
      </c>
      <c r="G244" s="270"/>
      <c r="H244" s="906"/>
      <c r="I244" s="918"/>
      <c r="J244" s="733"/>
      <c r="W244" s="54"/>
      <c r="Y244" s="25"/>
      <c r="Z244" s="51"/>
    </row>
    <row r="245" spans="2:26">
      <c r="B245" s="901"/>
      <c r="C245" s="39" t="s">
        <v>226</v>
      </c>
      <c r="D245" s="40">
        <v>121</v>
      </c>
      <c r="E245" s="41">
        <f t="shared" ref="E245:E253" si="24">IFERROR(INDEX(daftar,MATCH(C245,nmdaftar,0),2),"-")</f>
        <v>95500</v>
      </c>
      <c r="F245" s="47">
        <f t="shared" si="21"/>
        <v>11555500</v>
      </c>
      <c r="G245" s="270"/>
      <c r="H245" s="907"/>
      <c r="I245" s="919"/>
      <c r="J245" s="734"/>
      <c r="W245" s="54"/>
      <c r="Y245" s="25"/>
      <c r="Z245" s="51"/>
    </row>
    <row r="246" spans="2:26">
      <c r="B246" s="900" t="s">
        <v>290</v>
      </c>
      <c r="C246" s="39" t="s">
        <v>219</v>
      </c>
      <c r="D246" s="40">
        <v>625</v>
      </c>
      <c r="E246" s="41">
        <f t="shared" si="24"/>
        <v>46000</v>
      </c>
      <c r="F246" s="47">
        <f t="shared" ref="F246:F256" si="25">IF(E246="-","-",D246*E246)</f>
        <v>28750000</v>
      </c>
      <c r="G246" s="270"/>
      <c r="H246" s="905" t="s">
        <v>296</v>
      </c>
      <c r="I246" s="917">
        <v>95268000</v>
      </c>
      <c r="J246" s="732" t="s">
        <v>218</v>
      </c>
      <c r="W246" s="54"/>
      <c r="Y246" s="25"/>
      <c r="Z246" s="51"/>
    </row>
    <row r="247" spans="2:26">
      <c r="B247" s="901"/>
      <c r="C247" s="39" t="s">
        <v>226</v>
      </c>
      <c r="D247" s="40">
        <v>40</v>
      </c>
      <c r="E247" s="41">
        <f t="shared" si="24"/>
        <v>95500</v>
      </c>
      <c r="F247" s="47">
        <f t="shared" si="25"/>
        <v>3820000</v>
      </c>
      <c r="G247" s="270"/>
      <c r="H247" s="906"/>
      <c r="I247" s="918"/>
      <c r="J247" s="733"/>
      <c r="W247" s="54"/>
      <c r="Y247" s="25"/>
      <c r="Z247" s="51"/>
    </row>
    <row r="248" spans="2:26">
      <c r="B248" s="44">
        <v>44963</v>
      </c>
      <c r="C248" s="39" t="s">
        <v>219</v>
      </c>
      <c r="D248" s="40">
        <v>726</v>
      </c>
      <c r="E248" s="41">
        <f>IFERROR(INDEX(daftar,MATCH(C248,nmdaftar,0),2),"-")</f>
        <v>46000</v>
      </c>
      <c r="F248" s="47">
        <f>IF(E248="-","-",D248*E248)</f>
        <v>33396000</v>
      </c>
      <c r="G248" s="270"/>
      <c r="H248" s="906"/>
      <c r="I248" s="918"/>
      <c r="J248" s="733"/>
      <c r="W248" s="54"/>
      <c r="Y248" s="25"/>
      <c r="Z248" s="51"/>
    </row>
    <row r="249" spans="2:26">
      <c r="B249" s="44">
        <v>44963</v>
      </c>
      <c r="C249" s="39" t="s">
        <v>219</v>
      </c>
      <c r="D249" s="40">
        <v>323</v>
      </c>
      <c r="E249" s="41">
        <f>IFERROR(INDEX(daftar,MATCH(C249,nmdaftar,0),2),"-")</f>
        <v>46000</v>
      </c>
      <c r="F249" s="47">
        <f>IF(E249="-","-",D249*E249)</f>
        <v>14858000</v>
      </c>
      <c r="G249" s="270"/>
      <c r="H249" s="906"/>
      <c r="I249" s="918"/>
      <c r="J249" s="733"/>
      <c r="W249" s="54"/>
      <c r="Y249" s="25"/>
      <c r="Z249" s="51"/>
    </row>
    <row r="250" spans="2:26">
      <c r="B250" s="44">
        <v>44963</v>
      </c>
      <c r="C250" s="39" t="s">
        <v>219</v>
      </c>
      <c r="D250" s="40">
        <v>314</v>
      </c>
      <c r="E250" s="41">
        <f>IFERROR(INDEX(daftar,MATCH(C250,nmdaftar,0),2),"-")</f>
        <v>46000</v>
      </c>
      <c r="F250" s="47">
        <f>IF(E250="-","-",D250*E250)</f>
        <v>14444000</v>
      </c>
      <c r="G250" s="270"/>
      <c r="H250" s="929"/>
      <c r="I250" s="919"/>
      <c r="J250" s="941"/>
      <c r="W250" s="54"/>
      <c r="Y250" s="25"/>
      <c r="Z250" s="51"/>
    </row>
    <row r="251" spans="2:26">
      <c r="B251" s="899">
        <v>44963</v>
      </c>
      <c r="C251" s="39" t="s">
        <v>219</v>
      </c>
      <c r="D251" s="40">
        <v>501</v>
      </c>
      <c r="E251" s="41">
        <f t="shared" si="24"/>
        <v>46000</v>
      </c>
      <c r="F251" s="47">
        <f t="shared" si="25"/>
        <v>23046000</v>
      </c>
      <c r="G251" s="270"/>
      <c r="H251" s="905" t="s">
        <v>297</v>
      </c>
      <c r="I251" s="917">
        <v>95564000</v>
      </c>
      <c r="J251" s="732" t="s">
        <v>218</v>
      </c>
      <c r="W251" s="54"/>
      <c r="Y251" s="25"/>
      <c r="Z251" s="51"/>
    </row>
    <row r="252" spans="2:26">
      <c r="B252" s="900"/>
      <c r="C252" s="39" t="s">
        <v>222</v>
      </c>
      <c r="D252" s="40">
        <v>400</v>
      </c>
      <c r="E252" s="41">
        <f t="shared" si="24"/>
        <v>14000</v>
      </c>
      <c r="F252" s="47">
        <f t="shared" si="25"/>
        <v>5600000</v>
      </c>
      <c r="G252" s="270"/>
      <c r="H252" s="906"/>
      <c r="I252" s="918"/>
      <c r="J252" s="733"/>
      <c r="W252" s="54"/>
      <c r="Y252" s="25"/>
      <c r="Z252" s="51"/>
    </row>
    <row r="253" spans="2:26">
      <c r="B253" s="901"/>
      <c r="C253" s="39" t="s">
        <v>224</v>
      </c>
      <c r="D253" s="40">
        <v>400</v>
      </c>
      <c r="E253" s="41">
        <f t="shared" si="24"/>
        <v>14000</v>
      </c>
      <c r="F253" s="47">
        <f t="shared" si="25"/>
        <v>5600000</v>
      </c>
      <c r="G253" s="270"/>
      <c r="H253" s="906"/>
      <c r="I253" s="918"/>
      <c r="J253" s="733"/>
      <c r="W253" s="54"/>
      <c r="Y253" s="25"/>
      <c r="Z253" s="51"/>
    </row>
    <row r="254" spans="2:26">
      <c r="B254" s="44">
        <v>44991</v>
      </c>
      <c r="C254" s="39" t="s">
        <v>219</v>
      </c>
      <c r="D254" s="40">
        <v>686</v>
      </c>
      <c r="E254" s="41">
        <f t="shared" ref="E254:E285" si="26">IFERROR(INDEX(daftar,MATCH(C254,nmdaftar,0),2),"-")</f>
        <v>46000</v>
      </c>
      <c r="F254" s="47">
        <f t="shared" si="25"/>
        <v>31556000</v>
      </c>
      <c r="G254" s="270"/>
      <c r="H254" s="906"/>
      <c r="I254" s="918"/>
      <c r="J254" s="733"/>
      <c r="W254" s="54"/>
      <c r="Y254" s="25"/>
      <c r="Z254" s="51"/>
    </row>
    <row r="255" spans="2:26">
      <c r="B255" s="44">
        <v>44991</v>
      </c>
      <c r="C255" s="39" t="s">
        <v>219</v>
      </c>
      <c r="D255" s="40">
        <v>647</v>
      </c>
      <c r="E255" s="41">
        <f t="shared" si="26"/>
        <v>46000</v>
      </c>
      <c r="F255" s="47">
        <f t="shared" si="25"/>
        <v>29762000</v>
      </c>
      <c r="G255" s="270"/>
      <c r="H255" s="907"/>
      <c r="I255" s="919"/>
      <c r="J255" s="734"/>
      <c r="W255" s="54"/>
      <c r="Y255" s="25"/>
      <c r="Z255" s="51"/>
    </row>
    <row r="256" spans="2:26">
      <c r="B256" s="44">
        <v>44991</v>
      </c>
      <c r="C256" s="39" t="s">
        <v>219</v>
      </c>
      <c r="D256" s="40">
        <v>325</v>
      </c>
      <c r="E256" s="41">
        <f t="shared" si="26"/>
        <v>46000</v>
      </c>
      <c r="F256" s="47">
        <f t="shared" si="25"/>
        <v>14950000</v>
      </c>
      <c r="G256" s="270"/>
      <c r="H256" s="55">
        <v>45145</v>
      </c>
      <c r="I256" s="56">
        <v>14950000</v>
      </c>
      <c r="J256" s="53" t="s">
        <v>218</v>
      </c>
      <c r="W256" s="54"/>
      <c r="Y256" s="25"/>
      <c r="Z256" s="51"/>
    </row>
    <row r="257" spans="2:26">
      <c r="B257" s="44">
        <v>45052</v>
      </c>
      <c r="C257" s="39" t="s">
        <v>219</v>
      </c>
      <c r="D257" s="40">
        <v>720</v>
      </c>
      <c r="E257" s="41">
        <f t="shared" si="26"/>
        <v>46000</v>
      </c>
      <c r="F257" s="47">
        <f t="shared" ref="F257:F272" si="27">IF(E257="-","-",D257*E257)</f>
        <v>33120000</v>
      </c>
      <c r="G257" s="270"/>
      <c r="H257" s="905" t="s">
        <v>298</v>
      </c>
      <c r="I257" s="917">
        <v>64170000</v>
      </c>
      <c r="J257" s="732" t="s">
        <v>218</v>
      </c>
      <c r="W257" s="54"/>
      <c r="Y257" s="25"/>
      <c r="Z257" s="51"/>
    </row>
    <row r="258" spans="2:26">
      <c r="B258" s="44">
        <v>45052</v>
      </c>
      <c r="C258" s="39" t="s">
        <v>219</v>
      </c>
      <c r="D258" s="40">
        <v>675</v>
      </c>
      <c r="E258" s="41">
        <f t="shared" si="26"/>
        <v>46000</v>
      </c>
      <c r="F258" s="47">
        <f t="shared" si="27"/>
        <v>31050000</v>
      </c>
      <c r="G258" s="270"/>
      <c r="H258" s="907"/>
      <c r="I258" s="919"/>
      <c r="J258" s="734"/>
      <c r="W258" s="54"/>
      <c r="Y258" s="25"/>
      <c r="Z258" s="51"/>
    </row>
    <row r="259" spans="2:26">
      <c r="B259" s="44">
        <v>45083</v>
      </c>
      <c r="C259" s="39" t="s">
        <v>219</v>
      </c>
      <c r="D259" s="40">
        <v>310</v>
      </c>
      <c r="E259" s="41">
        <f t="shared" si="26"/>
        <v>46000</v>
      </c>
      <c r="F259" s="47">
        <f t="shared" si="27"/>
        <v>14260000</v>
      </c>
      <c r="G259" s="270"/>
      <c r="H259" s="905" t="s">
        <v>299</v>
      </c>
      <c r="I259" s="917">
        <v>59156000</v>
      </c>
      <c r="J259" s="732" t="s">
        <v>218</v>
      </c>
      <c r="W259" s="54"/>
      <c r="Y259" s="25"/>
      <c r="Z259" s="51"/>
    </row>
    <row r="260" spans="2:26">
      <c r="B260" s="44">
        <v>45113</v>
      </c>
      <c r="C260" s="39" t="s">
        <v>219</v>
      </c>
      <c r="D260" s="40">
        <v>330</v>
      </c>
      <c r="E260" s="41">
        <f t="shared" si="26"/>
        <v>46000</v>
      </c>
      <c r="F260" s="47">
        <f t="shared" si="27"/>
        <v>15180000</v>
      </c>
      <c r="G260" s="270"/>
      <c r="H260" s="906"/>
      <c r="I260" s="918"/>
      <c r="J260" s="733"/>
      <c r="W260" s="54"/>
      <c r="Y260" s="25"/>
      <c r="Z260" s="51"/>
    </row>
    <row r="261" spans="2:26">
      <c r="B261" s="44">
        <v>45144</v>
      </c>
      <c r="C261" s="39" t="s">
        <v>219</v>
      </c>
      <c r="D261" s="40">
        <v>646</v>
      </c>
      <c r="E261" s="41">
        <f t="shared" si="26"/>
        <v>46000</v>
      </c>
      <c r="F261" s="47">
        <f t="shared" si="27"/>
        <v>29716000</v>
      </c>
      <c r="G261" s="270"/>
      <c r="H261" s="907"/>
      <c r="I261" s="919"/>
      <c r="J261" s="734"/>
      <c r="W261" s="54"/>
      <c r="Y261" s="25"/>
      <c r="Z261" s="51"/>
    </row>
    <row r="262" spans="2:26">
      <c r="B262" s="44">
        <v>45144</v>
      </c>
      <c r="C262" s="39" t="s">
        <v>219</v>
      </c>
      <c r="D262" s="40">
        <v>330</v>
      </c>
      <c r="E262" s="41">
        <f t="shared" si="26"/>
        <v>46000</v>
      </c>
      <c r="F262" s="47">
        <f t="shared" si="27"/>
        <v>15180000</v>
      </c>
      <c r="G262" s="270"/>
      <c r="H262" s="902">
        <v>44933</v>
      </c>
      <c r="I262" s="917">
        <v>76820000</v>
      </c>
      <c r="J262" s="732" t="s">
        <v>218</v>
      </c>
      <c r="W262" s="54"/>
      <c r="Y262" s="25"/>
      <c r="Z262" s="51"/>
    </row>
    <row r="263" spans="2:26">
      <c r="B263" s="44" t="s">
        <v>295</v>
      </c>
      <c r="C263" s="39" t="s">
        <v>219</v>
      </c>
      <c r="D263" s="40">
        <v>657</v>
      </c>
      <c r="E263" s="41">
        <f t="shared" si="26"/>
        <v>46000</v>
      </c>
      <c r="F263" s="47">
        <f t="shared" si="27"/>
        <v>30222000</v>
      </c>
      <c r="G263" s="270"/>
      <c r="H263" s="903"/>
      <c r="I263" s="918"/>
      <c r="J263" s="733"/>
      <c r="W263" s="54"/>
      <c r="Y263" s="25"/>
      <c r="Z263" s="51"/>
    </row>
    <row r="264" spans="2:26">
      <c r="B264" s="44" t="s">
        <v>295</v>
      </c>
      <c r="C264" s="39" t="s">
        <v>219</v>
      </c>
      <c r="D264" s="40">
        <v>683</v>
      </c>
      <c r="E264" s="41">
        <f t="shared" si="26"/>
        <v>46000</v>
      </c>
      <c r="F264" s="47">
        <f t="shared" si="27"/>
        <v>31418000</v>
      </c>
      <c r="G264" s="270"/>
      <c r="H264" s="904"/>
      <c r="I264" s="919"/>
      <c r="J264" s="734"/>
      <c r="W264" s="54"/>
      <c r="Y264" s="25"/>
      <c r="Z264" s="51"/>
    </row>
    <row r="265" spans="2:26">
      <c r="B265" s="44" t="s">
        <v>300</v>
      </c>
      <c r="C265" s="39" t="s">
        <v>219</v>
      </c>
      <c r="D265" s="40">
        <v>708</v>
      </c>
      <c r="E265" s="41">
        <f t="shared" si="26"/>
        <v>46000</v>
      </c>
      <c r="F265" s="47">
        <f t="shared" si="27"/>
        <v>32568000</v>
      </c>
      <c r="G265" s="270"/>
      <c r="H265" s="902">
        <v>45145</v>
      </c>
      <c r="I265" s="917">
        <v>72634000</v>
      </c>
      <c r="J265" s="732" t="s">
        <v>218</v>
      </c>
      <c r="W265" s="54"/>
      <c r="Y265" s="25"/>
      <c r="Z265" s="51"/>
    </row>
    <row r="266" spans="2:26">
      <c r="B266" s="44" t="s">
        <v>300</v>
      </c>
      <c r="C266" s="39" t="s">
        <v>219</v>
      </c>
      <c r="D266" s="40">
        <v>435</v>
      </c>
      <c r="E266" s="41">
        <f t="shared" si="26"/>
        <v>46000</v>
      </c>
      <c r="F266" s="47">
        <f t="shared" si="27"/>
        <v>20010000</v>
      </c>
      <c r="G266" s="270"/>
      <c r="H266" s="903"/>
      <c r="I266" s="918"/>
      <c r="J266" s="733"/>
      <c r="W266" s="54"/>
      <c r="Y266" s="25"/>
      <c r="Z266" s="51"/>
    </row>
    <row r="267" spans="2:26">
      <c r="B267" s="44" t="s">
        <v>301</v>
      </c>
      <c r="C267" s="39" t="s">
        <v>219</v>
      </c>
      <c r="D267" s="40">
        <v>436</v>
      </c>
      <c r="E267" s="41">
        <f t="shared" si="26"/>
        <v>46000</v>
      </c>
      <c r="F267" s="47">
        <f t="shared" si="27"/>
        <v>20056000</v>
      </c>
      <c r="G267" s="270"/>
      <c r="H267" s="904"/>
      <c r="I267" s="919"/>
      <c r="J267" s="734"/>
      <c r="W267" s="54"/>
      <c r="Y267" s="25"/>
      <c r="Z267" s="51"/>
    </row>
    <row r="268" spans="2:26">
      <c r="B268" s="44" t="s">
        <v>301</v>
      </c>
      <c r="C268" s="39" t="s">
        <v>219</v>
      </c>
      <c r="D268" s="40">
        <v>420</v>
      </c>
      <c r="E268" s="41">
        <f t="shared" si="26"/>
        <v>46000</v>
      </c>
      <c r="F268" s="47">
        <f t="shared" si="27"/>
        <v>19320000</v>
      </c>
      <c r="G268" s="270"/>
      <c r="H268" s="902">
        <v>45267</v>
      </c>
      <c r="I268" s="917">
        <v>145790000</v>
      </c>
      <c r="J268" s="732" t="s">
        <v>218</v>
      </c>
      <c r="W268" s="54"/>
      <c r="Y268" s="25"/>
      <c r="Z268" s="51"/>
    </row>
    <row r="269" spans="2:26">
      <c r="B269" s="44" t="s">
        <v>302</v>
      </c>
      <c r="C269" s="39" t="s">
        <v>219</v>
      </c>
      <c r="D269" s="40">
        <v>315</v>
      </c>
      <c r="E269" s="41">
        <f t="shared" si="26"/>
        <v>46000</v>
      </c>
      <c r="F269" s="47">
        <f t="shared" si="27"/>
        <v>14490000</v>
      </c>
      <c r="G269" s="270"/>
      <c r="H269" s="903"/>
      <c r="I269" s="918"/>
      <c r="J269" s="733"/>
      <c r="W269" s="54"/>
      <c r="Y269" s="25"/>
      <c r="Z269" s="51"/>
    </row>
    <row r="270" spans="2:26">
      <c r="B270" s="900" t="s">
        <v>302</v>
      </c>
      <c r="C270" s="39" t="s">
        <v>219</v>
      </c>
      <c r="D270" s="40">
        <v>120</v>
      </c>
      <c r="E270" s="41">
        <f t="shared" si="26"/>
        <v>46000</v>
      </c>
      <c r="F270" s="47">
        <f t="shared" si="27"/>
        <v>5520000</v>
      </c>
      <c r="G270" s="270"/>
      <c r="H270" s="903"/>
      <c r="I270" s="918"/>
      <c r="J270" s="733"/>
      <c r="W270" s="54"/>
      <c r="Y270" s="25"/>
      <c r="Z270" s="51"/>
    </row>
    <row r="271" spans="2:26">
      <c r="B271" s="900"/>
      <c r="C271" s="39" t="s">
        <v>222</v>
      </c>
      <c r="D271" s="40">
        <v>500</v>
      </c>
      <c r="E271" s="41">
        <f t="shared" si="26"/>
        <v>14000</v>
      </c>
      <c r="F271" s="47">
        <f t="shared" si="27"/>
        <v>7000000</v>
      </c>
      <c r="G271" s="270"/>
      <c r="H271" s="903"/>
      <c r="I271" s="918"/>
      <c r="J271" s="733"/>
      <c r="W271" s="54"/>
      <c r="Y271" s="25"/>
      <c r="Z271" s="51"/>
    </row>
    <row r="272" spans="2:26">
      <c r="B272" s="901"/>
      <c r="C272" s="39" t="s">
        <v>224</v>
      </c>
      <c r="D272" s="40">
        <v>500</v>
      </c>
      <c r="E272" s="41">
        <f t="shared" si="26"/>
        <v>14000</v>
      </c>
      <c r="F272" s="47">
        <f t="shared" si="27"/>
        <v>7000000</v>
      </c>
      <c r="G272" s="270"/>
      <c r="H272" s="903"/>
      <c r="I272" s="918"/>
      <c r="J272" s="733"/>
      <c r="W272" s="54"/>
      <c r="Y272" s="25"/>
      <c r="Z272" s="51"/>
    </row>
    <row r="273" spans="2:26">
      <c r="B273" s="44" t="s">
        <v>298</v>
      </c>
      <c r="C273" s="39" t="s">
        <v>219</v>
      </c>
      <c r="D273" s="40">
        <v>320</v>
      </c>
      <c r="E273" s="41">
        <f t="shared" si="26"/>
        <v>46000</v>
      </c>
      <c r="F273" s="47">
        <f t="shared" ref="F273:F287" si="28">IF(E273="-","-",D273*E273)</f>
        <v>14720000</v>
      </c>
      <c r="G273" s="270"/>
      <c r="H273" s="903"/>
      <c r="I273" s="918"/>
      <c r="J273" s="733"/>
      <c r="W273" s="54"/>
      <c r="Y273" s="25"/>
      <c r="Z273" s="51"/>
    </row>
    <row r="274" spans="2:26">
      <c r="B274" s="44" t="s">
        <v>298</v>
      </c>
      <c r="C274" s="39" t="s">
        <v>219</v>
      </c>
      <c r="D274" s="40">
        <v>360</v>
      </c>
      <c r="E274" s="41">
        <f t="shared" si="26"/>
        <v>46000</v>
      </c>
      <c r="F274" s="47">
        <f t="shared" si="28"/>
        <v>16560000</v>
      </c>
      <c r="G274" s="270"/>
      <c r="H274" s="903"/>
      <c r="I274" s="918"/>
      <c r="J274" s="733"/>
      <c r="W274" s="54"/>
      <c r="Y274" s="25"/>
      <c r="Z274" s="51"/>
    </row>
    <row r="275" spans="2:26">
      <c r="B275" s="44" t="s">
        <v>303</v>
      </c>
      <c r="C275" s="39" t="s">
        <v>219</v>
      </c>
      <c r="D275" s="40">
        <v>320</v>
      </c>
      <c r="E275" s="41">
        <f t="shared" si="26"/>
        <v>46000</v>
      </c>
      <c r="F275" s="47">
        <f t="shared" si="28"/>
        <v>14720000</v>
      </c>
      <c r="G275" s="270"/>
      <c r="H275" s="903"/>
      <c r="I275" s="918"/>
      <c r="J275" s="733"/>
      <c r="W275" s="54"/>
      <c r="Y275" s="25"/>
      <c r="Z275" s="51"/>
    </row>
    <row r="276" spans="2:26">
      <c r="B276" s="44" t="s">
        <v>303</v>
      </c>
      <c r="C276" s="39" t="s">
        <v>219</v>
      </c>
      <c r="D276" s="40">
        <v>330</v>
      </c>
      <c r="E276" s="41">
        <f t="shared" si="26"/>
        <v>46000</v>
      </c>
      <c r="F276" s="47">
        <f t="shared" si="28"/>
        <v>15180000</v>
      </c>
      <c r="G276" s="270"/>
      <c r="H276" s="903"/>
      <c r="I276" s="918"/>
      <c r="J276" s="733"/>
      <c r="W276" s="54"/>
      <c r="Y276" s="25"/>
      <c r="Z276" s="51"/>
    </row>
    <row r="277" spans="2:26">
      <c r="B277" s="44" t="s">
        <v>303</v>
      </c>
      <c r="C277" s="39" t="s">
        <v>219</v>
      </c>
      <c r="D277" s="40">
        <v>350</v>
      </c>
      <c r="E277" s="41">
        <f t="shared" si="26"/>
        <v>46000</v>
      </c>
      <c r="F277" s="47">
        <f t="shared" si="28"/>
        <v>16100000</v>
      </c>
      <c r="G277" s="270"/>
      <c r="H277" s="903"/>
      <c r="I277" s="918"/>
      <c r="J277" s="733"/>
      <c r="W277" s="54"/>
      <c r="Y277" s="25"/>
      <c r="Z277" s="51"/>
    </row>
    <row r="278" spans="2:26">
      <c r="B278" s="44" t="s">
        <v>304</v>
      </c>
      <c r="C278" s="39" t="s">
        <v>219</v>
      </c>
      <c r="D278" s="40">
        <v>330</v>
      </c>
      <c r="E278" s="41">
        <f t="shared" si="26"/>
        <v>46000</v>
      </c>
      <c r="F278" s="47">
        <f t="shared" si="28"/>
        <v>15180000</v>
      </c>
      <c r="G278" s="270"/>
      <c r="H278" s="904"/>
      <c r="I278" s="919"/>
      <c r="J278" s="734"/>
      <c r="W278" s="54"/>
      <c r="Y278" s="25"/>
      <c r="Z278" s="51"/>
    </row>
    <row r="279" spans="2:26">
      <c r="B279" s="44">
        <v>44933</v>
      </c>
      <c r="C279" s="39" t="s">
        <v>219</v>
      </c>
      <c r="D279" s="40">
        <v>515</v>
      </c>
      <c r="E279" s="41">
        <f t="shared" si="26"/>
        <v>46000</v>
      </c>
      <c r="F279" s="47">
        <f t="shared" si="28"/>
        <v>23690000</v>
      </c>
      <c r="G279" s="270"/>
      <c r="H279" s="905" t="s">
        <v>305</v>
      </c>
      <c r="I279" s="917">
        <v>89010000</v>
      </c>
      <c r="J279" s="732" t="s">
        <v>218</v>
      </c>
      <c r="W279" s="54"/>
      <c r="Y279" s="25"/>
      <c r="Z279" s="51"/>
    </row>
    <row r="280" spans="2:26">
      <c r="B280" s="44">
        <v>44992</v>
      </c>
      <c r="C280" s="39" t="s">
        <v>219</v>
      </c>
      <c r="D280" s="40">
        <v>405</v>
      </c>
      <c r="E280" s="41">
        <f t="shared" si="26"/>
        <v>46000</v>
      </c>
      <c r="F280" s="47">
        <f t="shared" si="28"/>
        <v>18630000</v>
      </c>
      <c r="G280" s="270"/>
      <c r="H280" s="906"/>
      <c r="I280" s="918"/>
      <c r="J280" s="733"/>
      <c r="W280" s="54"/>
      <c r="Y280" s="25"/>
      <c r="Z280" s="51"/>
    </row>
    <row r="281" spans="2:26">
      <c r="B281" s="44">
        <v>44992</v>
      </c>
      <c r="C281" s="39" t="s">
        <v>219</v>
      </c>
      <c r="D281" s="40">
        <v>330</v>
      </c>
      <c r="E281" s="41">
        <f t="shared" si="26"/>
        <v>46000</v>
      </c>
      <c r="F281" s="47">
        <f t="shared" si="28"/>
        <v>15180000</v>
      </c>
      <c r="G281" s="270"/>
      <c r="H281" s="906"/>
      <c r="I281" s="918"/>
      <c r="J281" s="733"/>
      <c r="W281" s="54"/>
      <c r="Y281" s="25"/>
      <c r="Z281" s="51"/>
    </row>
    <row r="282" spans="2:26">
      <c r="B282" s="44">
        <v>45023</v>
      </c>
      <c r="C282" s="39" t="s">
        <v>219</v>
      </c>
      <c r="D282" s="40">
        <v>355</v>
      </c>
      <c r="E282" s="41">
        <f t="shared" si="26"/>
        <v>46000</v>
      </c>
      <c r="F282" s="47">
        <f t="shared" si="28"/>
        <v>16330000</v>
      </c>
      <c r="G282" s="270"/>
      <c r="H282" s="906"/>
      <c r="I282" s="918"/>
      <c r="J282" s="733"/>
      <c r="W282" s="54"/>
      <c r="Y282" s="25"/>
      <c r="Z282" s="51"/>
    </row>
    <row r="283" spans="2:26">
      <c r="B283" s="44">
        <v>45023</v>
      </c>
      <c r="C283" s="39" t="s">
        <v>219</v>
      </c>
      <c r="D283" s="40">
        <v>330</v>
      </c>
      <c r="E283" s="41">
        <f t="shared" si="26"/>
        <v>46000</v>
      </c>
      <c r="F283" s="47">
        <f t="shared" si="28"/>
        <v>15180000</v>
      </c>
      <c r="G283" s="270"/>
      <c r="H283" s="907"/>
      <c r="I283" s="919"/>
      <c r="J283" s="734"/>
      <c r="W283" s="54"/>
      <c r="Y283" s="25"/>
      <c r="Z283" s="51"/>
    </row>
    <row r="284" spans="2:26">
      <c r="B284" s="44">
        <v>45053</v>
      </c>
      <c r="C284" s="39" t="s">
        <v>219</v>
      </c>
      <c r="D284" s="40">
        <v>365</v>
      </c>
      <c r="E284" s="41">
        <f t="shared" si="26"/>
        <v>46000</v>
      </c>
      <c r="F284" s="47">
        <f t="shared" si="28"/>
        <v>16790000</v>
      </c>
      <c r="G284" s="270"/>
      <c r="H284" s="905" t="s">
        <v>306</v>
      </c>
      <c r="I284" s="917">
        <v>45910000</v>
      </c>
      <c r="J284" s="732" t="s">
        <v>218</v>
      </c>
      <c r="W284" s="54"/>
      <c r="Y284" s="25"/>
      <c r="Z284" s="51"/>
    </row>
    <row r="285" spans="2:26">
      <c r="B285" s="44">
        <v>45053</v>
      </c>
      <c r="C285" s="39" t="s">
        <v>219</v>
      </c>
      <c r="D285" s="40">
        <v>350</v>
      </c>
      <c r="E285" s="41">
        <f t="shared" si="26"/>
        <v>46000</v>
      </c>
      <c r="F285" s="47">
        <f t="shared" si="28"/>
        <v>16100000</v>
      </c>
      <c r="G285" s="270"/>
      <c r="H285" s="906"/>
      <c r="I285" s="918"/>
      <c r="J285" s="733"/>
      <c r="W285" s="54"/>
      <c r="Y285" s="25"/>
      <c r="Z285" s="51"/>
    </row>
    <row r="286" spans="2:26">
      <c r="B286" s="44">
        <v>45053</v>
      </c>
      <c r="C286" s="39" t="s">
        <v>219</v>
      </c>
      <c r="D286" s="40">
        <v>200</v>
      </c>
      <c r="E286" s="41">
        <f t="shared" ref="E286:E317" si="29">IFERROR(INDEX(daftar,MATCH(C286,nmdaftar,0),2),"-")</f>
        <v>46000</v>
      </c>
      <c r="F286" s="47">
        <f t="shared" si="28"/>
        <v>9200000</v>
      </c>
      <c r="G286" s="270"/>
      <c r="H286" s="906"/>
      <c r="I286" s="918"/>
      <c r="J286" s="733"/>
      <c r="W286" s="54"/>
      <c r="Y286" s="25"/>
      <c r="Z286" s="51"/>
    </row>
    <row r="287" spans="2:26">
      <c r="B287" s="44"/>
      <c r="C287" s="39" t="s">
        <v>226</v>
      </c>
      <c r="D287" s="40">
        <v>40</v>
      </c>
      <c r="E287" s="41">
        <f t="shared" si="29"/>
        <v>95500</v>
      </c>
      <c r="F287" s="47">
        <f t="shared" si="28"/>
        <v>3820000</v>
      </c>
      <c r="G287" s="270"/>
      <c r="H287" s="906"/>
      <c r="I287" s="918"/>
      <c r="J287" s="733"/>
      <c r="W287" s="54"/>
      <c r="Y287" s="25"/>
      <c r="Z287" s="51"/>
    </row>
    <row r="288" spans="2:26">
      <c r="B288" s="44">
        <v>45084</v>
      </c>
      <c r="C288" s="39" t="s">
        <v>219</v>
      </c>
      <c r="D288" s="40">
        <v>668</v>
      </c>
      <c r="E288" s="41">
        <f t="shared" si="29"/>
        <v>46000</v>
      </c>
      <c r="F288" s="47">
        <f t="shared" ref="F288:F295" si="30">IF(E288="-","-",D288*E288)</f>
        <v>30728000</v>
      </c>
      <c r="G288" s="270"/>
      <c r="H288" s="905" t="s">
        <v>307</v>
      </c>
      <c r="I288" s="917">
        <v>93782000</v>
      </c>
      <c r="J288" s="732" t="s">
        <v>218</v>
      </c>
      <c r="W288" s="54"/>
      <c r="Y288" s="25"/>
      <c r="Z288" s="51"/>
    </row>
    <row r="289" spans="2:26">
      <c r="B289" s="900">
        <v>45114</v>
      </c>
      <c r="C289" s="39" t="s">
        <v>219</v>
      </c>
      <c r="D289" s="40">
        <v>265</v>
      </c>
      <c r="E289" s="41">
        <f t="shared" si="29"/>
        <v>46000</v>
      </c>
      <c r="F289" s="47">
        <f t="shared" si="30"/>
        <v>12190000</v>
      </c>
      <c r="G289" s="270"/>
      <c r="H289" s="906"/>
      <c r="I289" s="918"/>
      <c r="J289" s="733"/>
      <c r="W289" s="54"/>
      <c r="Y289" s="25"/>
      <c r="Z289" s="51"/>
    </row>
    <row r="290" spans="2:26">
      <c r="B290" s="901"/>
      <c r="C290" s="39" t="s">
        <v>222</v>
      </c>
      <c r="D290" s="40">
        <v>400</v>
      </c>
      <c r="E290" s="41">
        <f t="shared" si="29"/>
        <v>14000</v>
      </c>
      <c r="F290" s="47">
        <f t="shared" si="30"/>
        <v>5600000</v>
      </c>
      <c r="G290" s="270"/>
      <c r="H290" s="906"/>
      <c r="I290" s="918"/>
      <c r="J290" s="733"/>
      <c r="W290" s="54"/>
      <c r="Y290" s="25"/>
      <c r="Z290" s="51"/>
    </row>
    <row r="291" spans="2:26">
      <c r="B291" s="44">
        <v>45114</v>
      </c>
      <c r="C291" s="39" t="s">
        <v>219</v>
      </c>
      <c r="D291" s="40">
        <v>654</v>
      </c>
      <c r="E291" s="41">
        <f t="shared" si="29"/>
        <v>46000</v>
      </c>
      <c r="F291" s="47">
        <f t="shared" si="30"/>
        <v>30084000</v>
      </c>
      <c r="G291" s="270"/>
      <c r="H291" s="906"/>
      <c r="I291" s="918"/>
      <c r="J291" s="733"/>
      <c r="W291" s="54"/>
      <c r="Y291" s="25"/>
      <c r="Z291" s="51"/>
    </row>
    <row r="292" spans="2:26">
      <c r="B292" s="44">
        <v>45145</v>
      </c>
      <c r="C292" s="39" t="s">
        <v>219</v>
      </c>
      <c r="D292" s="40">
        <v>330</v>
      </c>
      <c r="E292" s="41">
        <f t="shared" si="29"/>
        <v>46000</v>
      </c>
      <c r="F292" s="47">
        <f t="shared" si="30"/>
        <v>15180000</v>
      </c>
      <c r="G292" s="270"/>
      <c r="H292" s="907"/>
      <c r="I292" s="919"/>
      <c r="J292" s="734"/>
      <c r="W292" s="54"/>
      <c r="Y292" s="25"/>
      <c r="Z292" s="51"/>
    </row>
    <row r="293" spans="2:26">
      <c r="B293" s="44">
        <v>45145</v>
      </c>
      <c r="C293" s="39" t="s">
        <v>219</v>
      </c>
      <c r="D293" s="40">
        <v>385</v>
      </c>
      <c r="E293" s="41">
        <f t="shared" si="29"/>
        <v>46000</v>
      </c>
      <c r="F293" s="47">
        <f t="shared" si="30"/>
        <v>17710000</v>
      </c>
      <c r="G293" s="270"/>
      <c r="H293" s="905" t="s">
        <v>308</v>
      </c>
      <c r="I293" s="917">
        <v>99584000</v>
      </c>
      <c r="J293" s="732" t="s">
        <v>218</v>
      </c>
      <c r="W293" s="54"/>
      <c r="Y293" s="25"/>
      <c r="Z293" s="51"/>
    </row>
    <row r="294" spans="2:26">
      <c r="B294" s="44">
        <v>45206</v>
      </c>
      <c r="C294" s="39" t="s">
        <v>219</v>
      </c>
      <c r="D294" s="40">
        <v>744</v>
      </c>
      <c r="E294" s="41">
        <f t="shared" si="29"/>
        <v>46000</v>
      </c>
      <c r="F294" s="47">
        <f t="shared" si="30"/>
        <v>34224000</v>
      </c>
      <c r="G294" s="270"/>
      <c r="H294" s="906"/>
      <c r="I294" s="918"/>
      <c r="J294" s="733"/>
      <c r="W294" s="54"/>
      <c r="Y294" s="25"/>
      <c r="Z294" s="51"/>
    </row>
    <row r="295" spans="2:26">
      <c r="B295" s="44">
        <v>45237</v>
      </c>
      <c r="C295" s="39" t="s">
        <v>219</v>
      </c>
      <c r="D295" s="40">
        <v>325</v>
      </c>
      <c r="E295" s="41">
        <f t="shared" si="29"/>
        <v>46000</v>
      </c>
      <c r="F295" s="47">
        <f t="shared" si="30"/>
        <v>14950000</v>
      </c>
      <c r="G295" s="270"/>
      <c r="H295" s="906"/>
      <c r="I295" s="918"/>
      <c r="J295" s="733"/>
      <c r="W295" s="54"/>
      <c r="Y295" s="25"/>
      <c r="Z295" s="51"/>
    </row>
    <row r="296" spans="2:26">
      <c r="B296" s="44">
        <v>45267</v>
      </c>
      <c r="C296" s="39" t="s">
        <v>219</v>
      </c>
      <c r="D296" s="40">
        <v>325</v>
      </c>
      <c r="E296" s="41">
        <f t="shared" si="29"/>
        <v>46000</v>
      </c>
      <c r="F296" s="47">
        <f t="shared" ref="F296:F301" si="31">IF(E296="-","-",D296*E296)</f>
        <v>14950000</v>
      </c>
      <c r="G296" s="270"/>
      <c r="H296" s="906"/>
      <c r="I296" s="918"/>
      <c r="J296" s="733"/>
      <c r="W296" s="54"/>
      <c r="Y296" s="25"/>
      <c r="Z296" s="51"/>
    </row>
    <row r="297" spans="2:26">
      <c r="B297" s="703">
        <v>45267</v>
      </c>
      <c r="C297" s="39" t="s">
        <v>219</v>
      </c>
      <c r="D297" s="40">
        <v>325</v>
      </c>
      <c r="E297" s="41">
        <f t="shared" si="29"/>
        <v>46000</v>
      </c>
      <c r="F297" s="47">
        <f t="shared" si="31"/>
        <v>14950000</v>
      </c>
      <c r="G297" s="270"/>
      <c r="H297" s="906"/>
      <c r="I297" s="918"/>
      <c r="J297" s="733"/>
      <c r="W297" s="54"/>
      <c r="Y297" s="25"/>
      <c r="Z297" s="51"/>
    </row>
    <row r="298" spans="2:26">
      <c r="B298" s="704"/>
      <c r="C298" s="39" t="s">
        <v>222</v>
      </c>
      <c r="D298" s="40">
        <v>200</v>
      </c>
      <c r="E298" s="41">
        <f t="shared" si="29"/>
        <v>14000</v>
      </c>
      <c r="F298" s="47">
        <f t="shared" si="31"/>
        <v>2800000</v>
      </c>
      <c r="G298" s="270"/>
      <c r="H298" s="907"/>
      <c r="I298" s="919"/>
      <c r="J298" s="734"/>
      <c r="W298" s="54"/>
      <c r="Y298" s="25"/>
      <c r="Z298" s="51"/>
    </row>
    <row r="299" spans="2:26">
      <c r="B299" s="44" t="s">
        <v>309</v>
      </c>
      <c r="C299" s="39" t="s">
        <v>219</v>
      </c>
      <c r="D299" s="40">
        <v>700</v>
      </c>
      <c r="E299" s="41">
        <f t="shared" si="29"/>
        <v>46000</v>
      </c>
      <c r="F299" s="47">
        <f t="shared" si="31"/>
        <v>32200000</v>
      </c>
      <c r="G299" s="270"/>
      <c r="H299" s="905" t="s">
        <v>310</v>
      </c>
      <c r="I299" s="917">
        <v>83260000</v>
      </c>
      <c r="J299" s="732" t="s">
        <v>218</v>
      </c>
      <c r="W299" s="54"/>
      <c r="Y299" s="25"/>
      <c r="Z299" s="51"/>
    </row>
    <row r="300" spans="2:26">
      <c r="B300" s="44" t="s">
        <v>311</v>
      </c>
      <c r="C300" s="39" t="s">
        <v>219</v>
      </c>
      <c r="D300" s="40">
        <v>330</v>
      </c>
      <c r="E300" s="41">
        <f t="shared" si="29"/>
        <v>46000</v>
      </c>
      <c r="F300" s="47">
        <f t="shared" si="31"/>
        <v>15180000</v>
      </c>
      <c r="G300" s="270"/>
      <c r="H300" s="906"/>
      <c r="I300" s="918"/>
      <c r="J300" s="733"/>
      <c r="W300" s="54"/>
      <c r="Y300" s="25"/>
      <c r="Z300" s="51"/>
    </row>
    <row r="301" spans="2:26">
      <c r="B301" s="44" t="s">
        <v>311</v>
      </c>
      <c r="C301" s="39" t="s">
        <v>219</v>
      </c>
      <c r="D301" s="40">
        <v>430</v>
      </c>
      <c r="E301" s="41">
        <f t="shared" si="29"/>
        <v>46000</v>
      </c>
      <c r="F301" s="47">
        <f t="shared" si="31"/>
        <v>19780000</v>
      </c>
      <c r="G301" s="270"/>
      <c r="H301" s="906"/>
      <c r="I301" s="918"/>
      <c r="J301" s="733"/>
      <c r="W301" s="54"/>
      <c r="Y301" s="25"/>
      <c r="Z301" s="51"/>
    </row>
    <row r="302" spans="2:26">
      <c r="B302" s="44" t="s">
        <v>312</v>
      </c>
      <c r="C302" s="39" t="s">
        <v>219</v>
      </c>
      <c r="D302" s="40">
        <v>350</v>
      </c>
      <c r="E302" s="41">
        <f t="shared" si="29"/>
        <v>46000</v>
      </c>
      <c r="F302" s="47">
        <f t="shared" ref="F302:F309" si="32">IF(E302="-","-",D302*E302)</f>
        <v>16100000</v>
      </c>
      <c r="G302" s="270"/>
      <c r="H302" s="907"/>
      <c r="I302" s="919"/>
      <c r="J302" s="734"/>
      <c r="W302" s="54"/>
      <c r="Y302" s="25"/>
      <c r="Z302" s="51"/>
    </row>
    <row r="303" spans="2:26">
      <c r="B303" s="44" t="s">
        <v>312</v>
      </c>
      <c r="C303" s="39" t="s">
        <v>219</v>
      </c>
      <c r="D303" s="40">
        <v>740</v>
      </c>
      <c r="E303" s="41">
        <f t="shared" si="29"/>
        <v>46000</v>
      </c>
      <c r="F303" s="47">
        <f t="shared" si="32"/>
        <v>34040000</v>
      </c>
      <c r="G303" s="270"/>
      <c r="H303" s="902">
        <v>44965</v>
      </c>
      <c r="I303" s="917">
        <v>86922000</v>
      </c>
      <c r="J303" s="732" t="s">
        <v>218</v>
      </c>
      <c r="W303" s="54"/>
      <c r="Y303" s="25"/>
      <c r="Z303" s="51"/>
    </row>
    <row r="304" spans="2:26">
      <c r="B304" s="703" t="s">
        <v>305</v>
      </c>
      <c r="C304" s="39" t="s">
        <v>219</v>
      </c>
      <c r="D304" s="40">
        <v>230</v>
      </c>
      <c r="E304" s="41">
        <f t="shared" si="29"/>
        <v>46000</v>
      </c>
      <c r="F304" s="47">
        <f t="shared" si="32"/>
        <v>10580000</v>
      </c>
      <c r="G304" s="270"/>
      <c r="H304" s="903"/>
      <c r="I304" s="918"/>
      <c r="J304" s="733"/>
      <c r="W304" s="54"/>
      <c r="Y304" s="25"/>
      <c r="Z304" s="51"/>
    </row>
    <row r="305" spans="2:26">
      <c r="B305" s="703"/>
      <c r="C305" s="39" t="s">
        <v>222</v>
      </c>
      <c r="D305" s="40">
        <v>200</v>
      </c>
      <c r="E305" s="41">
        <f t="shared" si="29"/>
        <v>14000</v>
      </c>
      <c r="F305" s="47">
        <f t="shared" si="32"/>
        <v>2800000</v>
      </c>
      <c r="G305" s="270"/>
      <c r="H305" s="903"/>
      <c r="I305" s="918"/>
      <c r="J305" s="733"/>
      <c r="W305" s="54"/>
      <c r="Y305" s="25"/>
      <c r="Z305" s="51"/>
    </row>
    <row r="306" spans="2:26">
      <c r="B306" s="704"/>
      <c r="C306" s="39" t="s">
        <v>224</v>
      </c>
      <c r="D306" s="40">
        <v>200</v>
      </c>
      <c r="E306" s="41">
        <f t="shared" si="29"/>
        <v>14000</v>
      </c>
      <c r="F306" s="47">
        <f t="shared" si="32"/>
        <v>2800000</v>
      </c>
      <c r="G306" s="270"/>
      <c r="H306" s="903"/>
      <c r="I306" s="918"/>
      <c r="J306" s="733"/>
      <c r="W306" s="54"/>
      <c r="Y306" s="25"/>
      <c r="Z306" s="51"/>
    </row>
    <row r="307" spans="2:26">
      <c r="B307" s="703" t="s">
        <v>313</v>
      </c>
      <c r="C307" s="39" t="s">
        <v>219</v>
      </c>
      <c r="D307" s="40">
        <v>270</v>
      </c>
      <c r="E307" s="41">
        <f t="shared" si="29"/>
        <v>46000</v>
      </c>
      <c r="F307" s="47">
        <f t="shared" si="32"/>
        <v>12420000</v>
      </c>
      <c r="G307" s="270"/>
      <c r="H307" s="903"/>
      <c r="I307" s="918"/>
      <c r="J307" s="733"/>
      <c r="W307" s="54"/>
      <c r="Y307" s="25"/>
      <c r="Z307" s="51"/>
    </row>
    <row r="308" spans="2:26">
      <c r="B308" s="704"/>
      <c r="C308" s="39" t="s">
        <v>226</v>
      </c>
      <c r="D308" s="40">
        <v>64</v>
      </c>
      <c r="E308" s="41">
        <f t="shared" si="29"/>
        <v>95500</v>
      </c>
      <c r="F308" s="47">
        <f t="shared" si="32"/>
        <v>6112000</v>
      </c>
      <c r="G308" s="270"/>
      <c r="H308" s="903"/>
      <c r="I308" s="918"/>
      <c r="J308" s="733"/>
      <c r="W308" s="54"/>
      <c r="Y308" s="25"/>
      <c r="Z308" s="51"/>
    </row>
    <row r="309" spans="2:26">
      <c r="B309" s="44" t="s">
        <v>314</v>
      </c>
      <c r="C309" s="39" t="s">
        <v>219</v>
      </c>
      <c r="D309" s="40">
        <v>395</v>
      </c>
      <c r="E309" s="41">
        <f t="shared" si="29"/>
        <v>46000</v>
      </c>
      <c r="F309" s="47">
        <f t="shared" si="32"/>
        <v>18170000</v>
      </c>
      <c r="G309" s="270"/>
      <c r="H309" s="904"/>
      <c r="I309" s="919"/>
      <c r="J309" s="734"/>
      <c r="W309" s="54"/>
      <c r="Y309" s="25"/>
      <c r="Z309" s="51"/>
    </row>
    <row r="310" spans="2:26">
      <c r="B310" s="44" t="s">
        <v>314</v>
      </c>
      <c r="C310" s="39" t="s">
        <v>219</v>
      </c>
      <c r="D310" s="40">
        <v>330</v>
      </c>
      <c r="E310" s="41">
        <f t="shared" si="29"/>
        <v>46000</v>
      </c>
      <c r="F310" s="47">
        <f t="shared" ref="F310:F319" si="33">IF(E310="-","-",D310*E310)</f>
        <v>15180000</v>
      </c>
      <c r="G310" s="270"/>
      <c r="H310" s="902">
        <v>44993</v>
      </c>
      <c r="I310" s="917">
        <v>30820000</v>
      </c>
      <c r="J310" s="732" t="s">
        <v>218</v>
      </c>
      <c r="W310" s="54"/>
      <c r="Y310" s="25"/>
      <c r="Z310" s="51"/>
    </row>
    <row r="311" spans="2:26">
      <c r="B311" s="44" t="s">
        <v>314</v>
      </c>
      <c r="C311" s="39" t="s">
        <v>219</v>
      </c>
      <c r="D311" s="40">
        <v>340</v>
      </c>
      <c r="E311" s="41">
        <f t="shared" si="29"/>
        <v>46000</v>
      </c>
      <c r="F311" s="47">
        <f t="shared" si="33"/>
        <v>15640000</v>
      </c>
      <c r="G311" s="270"/>
      <c r="H311" s="904"/>
      <c r="I311" s="919"/>
      <c r="J311" s="734"/>
      <c r="W311" s="54"/>
      <c r="Y311" s="25"/>
      <c r="Z311" s="51"/>
    </row>
    <row r="312" spans="2:26">
      <c r="B312" s="44" t="s">
        <v>306</v>
      </c>
      <c r="C312" s="39" t="s">
        <v>219</v>
      </c>
      <c r="D312" s="40">
        <v>340</v>
      </c>
      <c r="E312" s="41">
        <f t="shared" si="29"/>
        <v>46000</v>
      </c>
      <c r="F312" s="47">
        <f t="shared" si="33"/>
        <v>15640000</v>
      </c>
      <c r="G312" s="270"/>
      <c r="H312" s="874">
        <v>45054</v>
      </c>
      <c r="I312" s="917">
        <v>80040000</v>
      </c>
      <c r="J312" s="732" t="s">
        <v>218</v>
      </c>
      <c r="W312" s="54"/>
      <c r="Y312" s="25"/>
      <c r="Z312" s="51"/>
    </row>
    <row r="313" spans="2:26">
      <c r="B313" s="44" t="s">
        <v>315</v>
      </c>
      <c r="C313" s="39" t="s">
        <v>219</v>
      </c>
      <c r="D313" s="40">
        <v>680</v>
      </c>
      <c r="E313" s="41">
        <f t="shared" si="29"/>
        <v>46000</v>
      </c>
      <c r="F313" s="47">
        <f t="shared" si="33"/>
        <v>31280000</v>
      </c>
      <c r="G313" s="270"/>
      <c r="H313" s="908"/>
      <c r="I313" s="918"/>
      <c r="J313" s="733"/>
      <c r="W313" s="54"/>
      <c r="Y313" s="25"/>
      <c r="Z313" s="51"/>
    </row>
    <row r="314" spans="2:26">
      <c r="B314" s="44" t="s">
        <v>315</v>
      </c>
      <c r="C314" s="39" t="s">
        <v>219</v>
      </c>
      <c r="D314" s="40">
        <v>720</v>
      </c>
      <c r="E314" s="41">
        <f t="shared" si="29"/>
        <v>46000</v>
      </c>
      <c r="F314" s="47">
        <f t="shared" si="33"/>
        <v>33120000</v>
      </c>
      <c r="G314" s="270"/>
      <c r="H314" s="875"/>
      <c r="I314" s="919"/>
      <c r="J314" s="734"/>
      <c r="W314" s="54"/>
      <c r="Y314" s="25"/>
      <c r="Z314" s="51"/>
    </row>
    <row r="315" spans="2:26">
      <c r="B315" s="703" t="s">
        <v>316</v>
      </c>
      <c r="C315" s="39" t="s">
        <v>219</v>
      </c>
      <c r="D315" s="40">
        <v>220</v>
      </c>
      <c r="E315" s="41">
        <f t="shared" si="29"/>
        <v>46000</v>
      </c>
      <c r="F315" s="47">
        <f t="shared" si="33"/>
        <v>10120000</v>
      </c>
      <c r="G315" s="270"/>
      <c r="H315" s="874">
        <v>45115</v>
      </c>
      <c r="I315" s="917">
        <v>51394500</v>
      </c>
      <c r="J315" s="732" t="s">
        <v>218</v>
      </c>
      <c r="W315" s="54"/>
      <c r="Y315" s="25"/>
      <c r="Z315" s="51"/>
    </row>
    <row r="316" spans="2:26">
      <c r="B316" s="704"/>
      <c r="C316" s="39" t="s">
        <v>226</v>
      </c>
      <c r="D316" s="40">
        <v>99</v>
      </c>
      <c r="E316" s="41">
        <f t="shared" si="29"/>
        <v>95500</v>
      </c>
      <c r="F316" s="47">
        <f t="shared" si="33"/>
        <v>9454500</v>
      </c>
      <c r="G316" s="270"/>
      <c r="H316" s="908"/>
      <c r="I316" s="918"/>
      <c r="J316" s="733"/>
      <c r="W316" s="54"/>
      <c r="Y316" s="25"/>
      <c r="Z316" s="51"/>
    </row>
    <row r="317" spans="2:26">
      <c r="B317" s="703" t="s">
        <v>316</v>
      </c>
      <c r="C317" s="39" t="s">
        <v>219</v>
      </c>
      <c r="D317" s="40">
        <v>230</v>
      </c>
      <c r="E317" s="41">
        <f t="shared" si="29"/>
        <v>46000</v>
      </c>
      <c r="F317" s="47">
        <f t="shared" si="33"/>
        <v>10580000</v>
      </c>
      <c r="G317" s="270"/>
      <c r="H317" s="908"/>
      <c r="I317" s="918"/>
      <c r="J317" s="733"/>
      <c r="W317" s="54"/>
      <c r="Y317" s="25"/>
      <c r="Z317" s="51"/>
    </row>
    <row r="318" spans="2:26">
      <c r="B318" s="703"/>
      <c r="C318" s="39" t="s">
        <v>222</v>
      </c>
      <c r="D318" s="40">
        <v>300</v>
      </c>
      <c r="E318" s="41">
        <f t="shared" ref="E318:E332" si="34">IFERROR(INDEX(daftar,MATCH(C318,nmdaftar,0),2),"-")</f>
        <v>14000</v>
      </c>
      <c r="F318" s="47">
        <f t="shared" si="33"/>
        <v>4200000</v>
      </c>
      <c r="G318" s="270"/>
      <c r="H318" s="908"/>
      <c r="I318" s="918"/>
      <c r="J318" s="733"/>
      <c r="W318" s="54"/>
      <c r="Y318" s="25"/>
      <c r="Z318" s="51"/>
    </row>
    <row r="319" spans="2:26">
      <c r="B319" s="704"/>
      <c r="C319" s="39" t="s">
        <v>224</v>
      </c>
      <c r="D319" s="40">
        <v>100</v>
      </c>
      <c r="E319" s="41">
        <f t="shared" si="34"/>
        <v>14000</v>
      </c>
      <c r="F319" s="47">
        <f t="shared" si="33"/>
        <v>1400000</v>
      </c>
      <c r="G319" s="270"/>
      <c r="H319" s="908"/>
      <c r="I319" s="918"/>
      <c r="J319" s="733"/>
      <c r="W319" s="54"/>
      <c r="Y319" s="25"/>
      <c r="Z319" s="51"/>
    </row>
    <row r="320" spans="2:26">
      <c r="B320" s="48" t="s">
        <v>317</v>
      </c>
      <c r="C320" s="39" t="s">
        <v>219</v>
      </c>
      <c r="D320" s="40">
        <v>340</v>
      </c>
      <c r="E320" s="41">
        <f t="shared" si="34"/>
        <v>46000</v>
      </c>
      <c r="F320" s="47">
        <f t="shared" ref="F320:F332" si="35">IF(E320="-","-",D320*E320)</f>
        <v>15640000</v>
      </c>
      <c r="G320" s="270"/>
      <c r="H320" s="875"/>
      <c r="I320" s="919"/>
      <c r="J320" s="734"/>
      <c r="W320" s="54"/>
      <c r="Y320" s="25"/>
      <c r="Z320" s="51"/>
    </row>
    <row r="321" spans="2:26">
      <c r="B321" s="48" t="s">
        <v>317</v>
      </c>
      <c r="C321" s="39" t="s">
        <v>219</v>
      </c>
      <c r="D321" s="40">
        <v>460</v>
      </c>
      <c r="E321" s="41">
        <f t="shared" si="34"/>
        <v>46000</v>
      </c>
      <c r="F321" s="47">
        <f t="shared" si="35"/>
        <v>21160000</v>
      </c>
      <c r="G321" s="270"/>
      <c r="H321" s="874">
        <v>45146</v>
      </c>
      <c r="I321" s="917">
        <v>36800000</v>
      </c>
      <c r="J321" s="732" t="s">
        <v>218</v>
      </c>
      <c r="W321" s="54"/>
      <c r="Y321" s="25"/>
      <c r="Z321" s="51"/>
    </row>
    <row r="322" spans="2:26">
      <c r="B322" s="48" t="s">
        <v>310</v>
      </c>
      <c r="C322" s="39" t="s">
        <v>219</v>
      </c>
      <c r="D322" s="40">
        <v>340</v>
      </c>
      <c r="E322" s="41">
        <f t="shared" si="34"/>
        <v>46000</v>
      </c>
      <c r="F322" s="47">
        <f t="shared" si="35"/>
        <v>15640000</v>
      </c>
      <c r="G322" s="270"/>
      <c r="H322" s="875"/>
      <c r="I322" s="919"/>
      <c r="J322" s="734"/>
      <c r="W322" s="54"/>
      <c r="Y322" s="25"/>
      <c r="Z322" s="51"/>
    </row>
    <row r="323" spans="2:26">
      <c r="B323" s="48" t="s">
        <v>310</v>
      </c>
      <c r="C323" s="39" t="s">
        <v>219</v>
      </c>
      <c r="D323" s="40">
        <v>720</v>
      </c>
      <c r="E323" s="41">
        <f t="shared" si="34"/>
        <v>46000</v>
      </c>
      <c r="F323" s="47">
        <f t="shared" si="35"/>
        <v>33120000</v>
      </c>
      <c r="G323" s="270"/>
      <c r="H323" s="909">
        <v>45207</v>
      </c>
      <c r="I323" s="928">
        <v>51980000</v>
      </c>
      <c r="J323" s="923" t="s">
        <v>218</v>
      </c>
      <c r="W323" s="54"/>
      <c r="Y323" s="25"/>
      <c r="Z323" s="51"/>
    </row>
    <row r="324" spans="2:26">
      <c r="B324" s="48">
        <v>44934</v>
      </c>
      <c r="C324" s="39" t="s">
        <v>219</v>
      </c>
      <c r="D324" s="40">
        <v>410</v>
      </c>
      <c r="E324" s="41">
        <f t="shared" si="34"/>
        <v>46000</v>
      </c>
      <c r="F324" s="47">
        <f t="shared" si="35"/>
        <v>18860000</v>
      </c>
      <c r="G324" s="270"/>
      <c r="H324" s="909"/>
      <c r="I324" s="928"/>
      <c r="J324" s="923"/>
      <c r="W324" s="54"/>
      <c r="Y324" s="25"/>
      <c r="Z324" s="51"/>
    </row>
    <row r="325" spans="2:26">
      <c r="B325" s="48">
        <v>44965</v>
      </c>
      <c r="C325" s="39" t="s">
        <v>219</v>
      </c>
      <c r="D325" s="40">
        <v>720</v>
      </c>
      <c r="E325" s="41">
        <f t="shared" si="34"/>
        <v>46000</v>
      </c>
      <c r="F325" s="47">
        <f t="shared" si="35"/>
        <v>33120000</v>
      </c>
      <c r="G325" s="270"/>
      <c r="H325" s="908">
        <v>45268</v>
      </c>
      <c r="I325" s="918">
        <v>66380000</v>
      </c>
      <c r="J325" s="733" t="s">
        <v>218</v>
      </c>
      <c r="W325" s="54"/>
      <c r="Y325" s="25"/>
      <c r="Z325" s="51"/>
    </row>
    <row r="326" spans="2:26">
      <c r="B326" s="48">
        <v>44965</v>
      </c>
      <c r="C326" s="39" t="s">
        <v>219</v>
      </c>
      <c r="D326" s="40">
        <v>325</v>
      </c>
      <c r="E326" s="41">
        <f t="shared" si="34"/>
        <v>46000</v>
      </c>
      <c r="F326" s="47">
        <f t="shared" si="35"/>
        <v>14950000</v>
      </c>
      <c r="G326" s="270"/>
      <c r="H326" s="908"/>
      <c r="I326" s="918"/>
      <c r="J326" s="733"/>
      <c r="W326" s="54"/>
      <c r="Y326" s="25"/>
      <c r="Z326" s="51"/>
    </row>
    <row r="327" spans="2:26">
      <c r="B327" s="703">
        <v>44993</v>
      </c>
      <c r="C327" s="39" t="s">
        <v>219</v>
      </c>
      <c r="D327" s="40">
        <v>185</v>
      </c>
      <c r="E327" s="41">
        <f t="shared" si="34"/>
        <v>46000</v>
      </c>
      <c r="F327" s="47">
        <f t="shared" si="35"/>
        <v>8510000</v>
      </c>
      <c r="G327" s="270"/>
      <c r="H327" s="908"/>
      <c r="I327" s="918"/>
      <c r="J327" s="733"/>
      <c r="W327" s="54"/>
      <c r="Y327" s="25"/>
      <c r="Z327" s="51"/>
    </row>
    <row r="328" spans="2:26">
      <c r="B328" s="703"/>
      <c r="C328" s="39" t="s">
        <v>222</v>
      </c>
      <c r="D328" s="40">
        <v>400</v>
      </c>
      <c r="E328" s="41">
        <f t="shared" si="34"/>
        <v>14000</v>
      </c>
      <c r="F328" s="47">
        <f t="shared" si="35"/>
        <v>5600000</v>
      </c>
      <c r="G328" s="270"/>
      <c r="H328" s="908"/>
      <c r="I328" s="918"/>
      <c r="J328" s="733"/>
      <c r="W328" s="54"/>
      <c r="Y328" s="25"/>
      <c r="Z328" s="51"/>
    </row>
    <row r="329" spans="2:26">
      <c r="B329" s="704"/>
      <c r="C329" s="39" t="s">
        <v>224</v>
      </c>
      <c r="D329" s="40">
        <v>300</v>
      </c>
      <c r="E329" s="41">
        <f t="shared" si="34"/>
        <v>14000</v>
      </c>
      <c r="F329" s="47">
        <f t="shared" si="35"/>
        <v>4200000</v>
      </c>
      <c r="G329" s="270"/>
      <c r="H329" s="875"/>
      <c r="I329" s="919"/>
      <c r="J329" s="734"/>
      <c r="W329" s="54"/>
      <c r="Y329" s="25"/>
      <c r="Z329" s="51"/>
    </row>
    <row r="330" spans="2:26">
      <c r="B330" s="44">
        <v>45024</v>
      </c>
      <c r="C330" s="39" t="s">
        <v>219</v>
      </c>
      <c r="D330" s="40">
        <v>400</v>
      </c>
      <c r="E330" s="41">
        <f t="shared" si="34"/>
        <v>46000</v>
      </c>
      <c r="F330" s="47">
        <f t="shared" si="35"/>
        <v>18400000</v>
      </c>
      <c r="G330" s="270"/>
      <c r="H330" s="938" t="s">
        <v>318</v>
      </c>
      <c r="I330" s="942">
        <v>66930000</v>
      </c>
      <c r="J330" s="920" t="s">
        <v>218</v>
      </c>
      <c r="W330" s="54"/>
      <c r="Y330" s="25"/>
      <c r="Z330" s="51"/>
    </row>
    <row r="331" spans="2:26">
      <c r="B331" s="44">
        <v>45054</v>
      </c>
      <c r="C331" s="39" t="s">
        <v>219</v>
      </c>
      <c r="D331" s="40">
        <v>700</v>
      </c>
      <c r="E331" s="41">
        <f t="shared" si="34"/>
        <v>46000</v>
      </c>
      <c r="F331" s="47">
        <f t="shared" si="35"/>
        <v>32200000</v>
      </c>
      <c r="G331" s="270"/>
      <c r="H331" s="939"/>
      <c r="I331" s="943"/>
      <c r="J331" s="921"/>
      <c r="W331" s="54"/>
      <c r="Y331" s="25"/>
      <c r="Z331" s="51"/>
    </row>
    <row r="332" spans="2:26">
      <c r="B332" s="44">
        <v>45054</v>
      </c>
      <c r="C332" s="39" t="s">
        <v>219</v>
      </c>
      <c r="D332" s="40">
        <v>355</v>
      </c>
      <c r="E332" s="41">
        <f t="shared" si="34"/>
        <v>46000</v>
      </c>
      <c r="F332" s="47">
        <f t="shared" si="35"/>
        <v>16330000</v>
      </c>
      <c r="G332" s="270"/>
      <c r="H332" s="940"/>
      <c r="I332" s="944"/>
      <c r="J332" s="922"/>
      <c r="W332" s="54"/>
      <c r="Y332" s="25"/>
      <c r="Z332" s="51"/>
    </row>
    <row r="333" spans="2:26">
      <c r="B333" s="131">
        <v>45054</v>
      </c>
      <c r="C333" s="39" t="s">
        <v>219</v>
      </c>
      <c r="D333" s="132">
        <v>700</v>
      </c>
      <c r="E333" s="41">
        <f>IFERROR(INDEX(daftar,MATCH(C333,nmdaftar,0),2),"-")</f>
        <v>46000</v>
      </c>
      <c r="F333" s="47">
        <f>IF(E333="-","-",D333*E333)</f>
        <v>32200000</v>
      </c>
      <c r="G333" s="270"/>
      <c r="H333" s="874" t="s">
        <v>319</v>
      </c>
      <c r="I333" s="728">
        <v>47840000</v>
      </c>
      <c r="J333" s="732" t="s">
        <v>218</v>
      </c>
      <c r="W333" s="54"/>
      <c r="Y333" s="130"/>
      <c r="Z333" s="51"/>
    </row>
    <row r="334" spans="2:26" s="26" customFormat="1">
      <c r="B334" s="131">
        <v>45054</v>
      </c>
      <c r="C334" s="39" t="s">
        <v>219</v>
      </c>
      <c r="D334" s="132">
        <v>340</v>
      </c>
      <c r="E334" s="41">
        <f>IFERROR(INDEX(daftar,MATCH(C334,nmdaftar,0),2),"-")</f>
        <v>46000</v>
      </c>
      <c r="F334" s="47">
        <f>IF(E334="-","-",D334*E334)</f>
        <v>15640000</v>
      </c>
      <c r="G334" s="270"/>
      <c r="H334" s="875"/>
      <c r="I334" s="730"/>
      <c r="J334" s="734"/>
      <c r="W334" s="68"/>
      <c r="Y334" s="69"/>
      <c r="Z334" s="70"/>
    </row>
    <row r="335" spans="2:26">
      <c r="B335" s="37">
        <v>45115</v>
      </c>
      <c r="C335" s="39" t="s">
        <v>219</v>
      </c>
      <c r="D335" s="40">
        <v>330</v>
      </c>
      <c r="E335" s="41">
        <f t="shared" ref="E335:E357" si="36">IFERROR(INDEX(daftar,MATCH(C335,nmdaftar,0),2),"-")</f>
        <v>46000</v>
      </c>
      <c r="F335" s="47">
        <f t="shared" ref="F335:F342" si="37">IF(E335="-","-",D335*E335)</f>
        <v>15180000</v>
      </c>
      <c r="G335" s="270"/>
      <c r="H335" s="909" t="s">
        <v>320</v>
      </c>
      <c r="I335" s="928">
        <v>49220000</v>
      </c>
      <c r="J335" s="923" t="s">
        <v>218</v>
      </c>
      <c r="W335" s="54"/>
      <c r="Y335" s="25"/>
      <c r="Z335" s="51"/>
    </row>
    <row r="336" spans="2:26">
      <c r="B336" s="37">
        <v>45115</v>
      </c>
      <c r="C336" s="39" t="s">
        <v>219</v>
      </c>
      <c r="D336" s="40">
        <v>740</v>
      </c>
      <c r="E336" s="41">
        <f t="shared" si="36"/>
        <v>46000</v>
      </c>
      <c r="F336" s="47">
        <f t="shared" si="37"/>
        <v>34040000</v>
      </c>
      <c r="G336" s="270"/>
      <c r="H336" s="945"/>
      <c r="I336" s="928"/>
      <c r="J336" s="924"/>
      <c r="W336" s="54"/>
      <c r="Y336" s="25"/>
      <c r="Z336" s="51"/>
    </row>
    <row r="337" spans="2:26">
      <c r="B337" s="44">
        <v>45146</v>
      </c>
      <c r="C337" s="39" t="s">
        <v>219</v>
      </c>
      <c r="D337" s="40">
        <v>330</v>
      </c>
      <c r="E337" s="41">
        <f t="shared" si="36"/>
        <v>46000</v>
      </c>
      <c r="F337" s="47">
        <f t="shared" si="37"/>
        <v>15180000</v>
      </c>
      <c r="G337" s="270"/>
      <c r="H337" s="874" t="s">
        <v>321</v>
      </c>
      <c r="I337" s="917">
        <v>68540000</v>
      </c>
      <c r="J337" s="732" t="s">
        <v>218</v>
      </c>
      <c r="W337" s="54"/>
      <c r="Y337" s="25"/>
      <c r="Z337" s="51"/>
    </row>
    <row r="338" spans="2:26">
      <c r="B338" s="44">
        <v>45146</v>
      </c>
      <c r="C338" s="39" t="s">
        <v>219</v>
      </c>
      <c r="D338" s="40">
        <v>420</v>
      </c>
      <c r="E338" s="41">
        <f t="shared" si="36"/>
        <v>46000</v>
      </c>
      <c r="F338" s="47">
        <f t="shared" si="37"/>
        <v>19320000</v>
      </c>
      <c r="G338" s="270"/>
      <c r="H338" s="908"/>
      <c r="I338" s="918"/>
      <c r="J338" s="733"/>
      <c r="W338" s="54"/>
      <c r="Y338" s="25"/>
      <c r="Z338" s="51"/>
    </row>
    <row r="339" spans="2:26">
      <c r="B339" s="44">
        <v>45238</v>
      </c>
      <c r="C339" s="39" t="s">
        <v>219</v>
      </c>
      <c r="D339" s="40">
        <v>740</v>
      </c>
      <c r="E339" s="41">
        <f t="shared" si="36"/>
        <v>46000</v>
      </c>
      <c r="F339" s="47">
        <f t="shared" si="37"/>
        <v>34040000</v>
      </c>
      <c r="G339" s="270"/>
      <c r="H339" s="875"/>
      <c r="I339" s="919"/>
      <c r="J339" s="734"/>
      <c r="W339" s="54"/>
      <c r="Y339" s="25"/>
      <c r="Z339" s="51"/>
    </row>
    <row r="340" spans="2:26">
      <c r="B340" s="703">
        <v>45268</v>
      </c>
      <c r="C340" s="39" t="s">
        <v>219</v>
      </c>
      <c r="D340" s="40">
        <v>235</v>
      </c>
      <c r="E340" s="41">
        <f t="shared" si="36"/>
        <v>46000</v>
      </c>
      <c r="F340" s="47">
        <f t="shared" si="37"/>
        <v>10810000</v>
      </c>
      <c r="G340" s="270"/>
      <c r="H340" s="874" t="s">
        <v>322</v>
      </c>
      <c r="I340" s="917">
        <v>83761000</v>
      </c>
      <c r="J340" s="732" t="s">
        <v>218</v>
      </c>
      <c r="W340" s="54"/>
      <c r="Y340" s="25"/>
      <c r="Z340" s="51"/>
    </row>
    <row r="341" spans="2:26">
      <c r="B341" s="901"/>
      <c r="C341" s="39" t="s">
        <v>226</v>
      </c>
      <c r="D341" s="40">
        <v>62</v>
      </c>
      <c r="E341" s="41">
        <f t="shared" si="36"/>
        <v>95500</v>
      </c>
      <c r="F341" s="47">
        <f t="shared" si="37"/>
        <v>5921000</v>
      </c>
      <c r="G341" s="270"/>
      <c r="H341" s="908"/>
      <c r="I341" s="918"/>
      <c r="J341" s="733"/>
      <c r="W341" s="54"/>
      <c r="Y341" s="25"/>
      <c r="Z341" s="51"/>
    </row>
    <row r="342" spans="2:26">
      <c r="B342" s="44" t="s">
        <v>323</v>
      </c>
      <c r="C342" s="39" t="s">
        <v>219</v>
      </c>
      <c r="D342" s="40">
        <v>740</v>
      </c>
      <c r="E342" s="41">
        <f t="shared" si="36"/>
        <v>46000</v>
      </c>
      <c r="F342" s="47">
        <f t="shared" si="37"/>
        <v>34040000</v>
      </c>
      <c r="G342" s="270"/>
      <c r="H342" s="908"/>
      <c r="I342" s="918"/>
      <c r="J342" s="733"/>
      <c r="W342" s="54"/>
      <c r="Y342" s="25"/>
      <c r="Z342" s="51"/>
    </row>
    <row r="343" spans="2:26">
      <c r="B343" s="703" t="s">
        <v>318</v>
      </c>
      <c r="C343" s="39" t="s">
        <v>219</v>
      </c>
      <c r="D343" s="40">
        <v>230</v>
      </c>
      <c r="E343" s="41">
        <f t="shared" si="36"/>
        <v>46000</v>
      </c>
      <c r="F343" s="47">
        <f t="shared" ref="F343:F353" si="38">IF(E343="-","-",D343*E343)</f>
        <v>10580000</v>
      </c>
      <c r="G343" s="270"/>
      <c r="H343" s="908"/>
      <c r="I343" s="918"/>
      <c r="J343" s="733"/>
      <c r="W343" s="54"/>
      <c r="Y343" s="25"/>
      <c r="Z343" s="51"/>
    </row>
    <row r="344" spans="2:26">
      <c r="B344" s="703"/>
      <c r="C344" s="39" t="s">
        <v>222</v>
      </c>
      <c r="D344" s="40">
        <v>300</v>
      </c>
      <c r="E344" s="41">
        <f t="shared" si="36"/>
        <v>14000</v>
      </c>
      <c r="F344" s="47">
        <f t="shared" si="38"/>
        <v>4200000</v>
      </c>
      <c r="G344" s="270"/>
      <c r="H344" s="908"/>
      <c r="I344" s="918"/>
      <c r="J344" s="733"/>
      <c r="W344" s="54"/>
      <c r="Y344" s="25"/>
      <c r="Z344" s="51"/>
    </row>
    <row r="345" spans="2:26">
      <c r="B345" s="704"/>
      <c r="C345" s="39" t="s">
        <v>224</v>
      </c>
      <c r="D345" s="40">
        <v>200</v>
      </c>
      <c r="E345" s="41">
        <f t="shared" si="36"/>
        <v>14000</v>
      </c>
      <c r="F345" s="47">
        <f t="shared" si="38"/>
        <v>2800000</v>
      </c>
      <c r="G345" s="270"/>
      <c r="H345" s="908"/>
      <c r="I345" s="918"/>
      <c r="J345" s="733"/>
      <c r="W345" s="54"/>
      <c r="Y345" s="25"/>
      <c r="Z345" s="51"/>
    </row>
    <row r="346" spans="2:26">
      <c r="B346" s="44" t="s">
        <v>324</v>
      </c>
      <c r="C346" s="39" t="s">
        <v>219</v>
      </c>
      <c r="D346" s="40">
        <v>335</v>
      </c>
      <c r="E346" s="41">
        <f t="shared" si="36"/>
        <v>46000</v>
      </c>
      <c r="F346" s="47">
        <f t="shared" si="38"/>
        <v>15410000</v>
      </c>
      <c r="G346" s="270"/>
      <c r="H346" s="875"/>
      <c r="I346" s="919"/>
      <c r="J346" s="734"/>
      <c r="W346" s="54"/>
      <c r="Y346" s="25"/>
      <c r="Z346" s="51"/>
    </row>
    <row r="347" spans="2:26">
      <c r="B347" s="44" t="s">
        <v>324</v>
      </c>
      <c r="C347" s="39" t="s">
        <v>219</v>
      </c>
      <c r="D347" s="40">
        <v>320</v>
      </c>
      <c r="E347" s="41">
        <f t="shared" si="36"/>
        <v>46000</v>
      </c>
      <c r="F347" s="47">
        <f t="shared" si="38"/>
        <v>14720000</v>
      </c>
      <c r="G347" s="270"/>
      <c r="H347" s="874" t="s">
        <v>325</v>
      </c>
      <c r="I347" s="917">
        <v>61146500</v>
      </c>
      <c r="J347" s="732" t="s">
        <v>218</v>
      </c>
      <c r="W347" s="54"/>
      <c r="Y347" s="25"/>
      <c r="Z347" s="51"/>
    </row>
    <row r="348" spans="2:26">
      <c r="B348" s="44" t="s">
        <v>326</v>
      </c>
      <c r="C348" s="39" t="s">
        <v>219</v>
      </c>
      <c r="D348" s="40">
        <v>325</v>
      </c>
      <c r="E348" s="41">
        <f t="shared" si="36"/>
        <v>46000</v>
      </c>
      <c r="F348" s="47">
        <f t="shared" si="38"/>
        <v>14950000</v>
      </c>
      <c r="G348" s="270"/>
      <c r="H348" s="908"/>
      <c r="I348" s="918"/>
      <c r="J348" s="733"/>
      <c r="W348" s="54"/>
      <c r="Y348" s="25"/>
      <c r="Z348" s="51"/>
    </row>
    <row r="349" spans="2:26">
      <c r="B349" s="703" t="s">
        <v>326</v>
      </c>
      <c r="C349" s="39" t="s">
        <v>219</v>
      </c>
      <c r="D349" s="40">
        <v>280</v>
      </c>
      <c r="E349" s="41">
        <f t="shared" si="36"/>
        <v>46000</v>
      </c>
      <c r="F349" s="47">
        <f t="shared" si="38"/>
        <v>12880000</v>
      </c>
      <c r="G349" s="270"/>
      <c r="H349" s="908"/>
      <c r="I349" s="918"/>
      <c r="J349" s="733"/>
      <c r="W349" s="54"/>
      <c r="Y349" s="25"/>
      <c r="Z349" s="51"/>
    </row>
    <row r="350" spans="2:26">
      <c r="B350" s="901"/>
      <c r="C350" s="39" t="s">
        <v>226</v>
      </c>
      <c r="D350" s="40">
        <v>43</v>
      </c>
      <c r="E350" s="41">
        <f t="shared" si="36"/>
        <v>95500</v>
      </c>
      <c r="F350" s="47">
        <f t="shared" si="38"/>
        <v>4106500</v>
      </c>
      <c r="G350" s="270"/>
      <c r="H350" s="908"/>
      <c r="I350" s="918"/>
      <c r="J350" s="733"/>
      <c r="W350" s="54"/>
      <c r="Y350" s="25"/>
      <c r="Z350" s="51"/>
    </row>
    <row r="351" spans="2:26">
      <c r="B351" s="44" t="s">
        <v>319</v>
      </c>
      <c r="C351" s="39" t="s">
        <v>219</v>
      </c>
      <c r="D351" s="40">
        <v>315</v>
      </c>
      <c r="E351" s="41">
        <f t="shared" si="36"/>
        <v>46000</v>
      </c>
      <c r="F351" s="47">
        <f t="shared" si="38"/>
        <v>14490000</v>
      </c>
      <c r="G351" s="270"/>
      <c r="H351" s="875"/>
      <c r="I351" s="919"/>
      <c r="J351" s="734"/>
      <c r="W351" s="54"/>
      <c r="Y351" s="25"/>
      <c r="Z351" s="51"/>
    </row>
    <row r="352" spans="2:26">
      <c r="B352" s="118" t="s">
        <v>327</v>
      </c>
      <c r="C352" s="39" t="s">
        <v>219</v>
      </c>
      <c r="D352" s="117">
        <v>320</v>
      </c>
      <c r="E352" s="41">
        <f t="shared" si="36"/>
        <v>46000</v>
      </c>
      <c r="F352" s="47">
        <f t="shared" si="38"/>
        <v>14720000</v>
      </c>
      <c r="G352" s="43"/>
      <c r="H352" s="874">
        <v>45169</v>
      </c>
      <c r="I352" s="728">
        <f>SUM(F352:F357)</f>
        <v>125350000</v>
      </c>
      <c r="J352" s="732" t="s">
        <v>218</v>
      </c>
      <c r="W352" s="54"/>
      <c r="Y352" s="25"/>
      <c r="Z352" s="51"/>
    </row>
    <row r="353" spans="2:26">
      <c r="B353" s="118" t="s">
        <v>327</v>
      </c>
      <c r="C353" s="39" t="s">
        <v>219</v>
      </c>
      <c r="D353" s="117">
        <v>335</v>
      </c>
      <c r="E353" s="41">
        <f t="shared" si="36"/>
        <v>46000</v>
      </c>
      <c r="F353" s="47">
        <f t="shared" si="38"/>
        <v>15410000</v>
      </c>
      <c r="G353" s="43"/>
      <c r="H353" s="908"/>
      <c r="I353" s="729"/>
      <c r="J353" s="733"/>
      <c r="W353" s="54"/>
      <c r="Y353" s="25"/>
      <c r="Z353" s="51"/>
    </row>
    <row r="354" spans="2:26">
      <c r="B354" s="118" t="s">
        <v>328</v>
      </c>
      <c r="C354" s="39" t="s">
        <v>219</v>
      </c>
      <c r="D354" s="117">
        <v>320</v>
      </c>
      <c r="E354" s="41">
        <f t="shared" si="36"/>
        <v>46000</v>
      </c>
      <c r="F354" s="47">
        <f>IF(E354="-","-",D354*E354)</f>
        <v>14720000</v>
      </c>
      <c r="G354" s="43"/>
      <c r="H354" s="908"/>
      <c r="I354" s="729"/>
      <c r="J354" s="733"/>
      <c r="W354" s="54"/>
      <c r="Y354" s="25"/>
      <c r="Z354" s="51"/>
    </row>
    <row r="355" spans="2:26">
      <c r="B355" s="118" t="s">
        <v>328</v>
      </c>
      <c r="C355" s="39" t="s">
        <v>219</v>
      </c>
      <c r="D355" s="117">
        <v>740</v>
      </c>
      <c r="E355" s="41">
        <f t="shared" si="36"/>
        <v>46000</v>
      </c>
      <c r="F355" s="47">
        <f>IF(E355="-","-",D355*E355)</f>
        <v>34040000</v>
      </c>
      <c r="G355" s="43"/>
      <c r="H355" s="908"/>
      <c r="I355" s="729"/>
      <c r="J355" s="733"/>
      <c r="W355" s="54"/>
      <c r="Y355" s="25"/>
      <c r="Z355" s="51"/>
    </row>
    <row r="356" spans="2:26">
      <c r="B356" s="118" t="s">
        <v>321</v>
      </c>
      <c r="C356" s="39" t="s">
        <v>219</v>
      </c>
      <c r="D356" s="117">
        <v>330</v>
      </c>
      <c r="E356" s="41">
        <f t="shared" si="36"/>
        <v>46000</v>
      </c>
      <c r="F356" s="47">
        <f>IF(E356="-","-",D356*E356)</f>
        <v>15180000</v>
      </c>
      <c r="G356" s="43"/>
      <c r="H356" s="908"/>
      <c r="I356" s="729"/>
      <c r="J356" s="733"/>
      <c r="W356" s="54"/>
      <c r="Y356" s="25"/>
      <c r="Z356" s="51"/>
    </row>
    <row r="357" spans="2:26">
      <c r="B357" s="118" t="s">
        <v>321</v>
      </c>
      <c r="C357" s="39" t="s">
        <v>219</v>
      </c>
      <c r="D357" s="117">
        <v>680</v>
      </c>
      <c r="E357" s="41">
        <f t="shared" si="36"/>
        <v>46000</v>
      </c>
      <c r="F357" s="47">
        <f>IF(E357="-","-",D357*E357)</f>
        <v>31280000</v>
      </c>
      <c r="G357" s="43"/>
      <c r="H357" s="875"/>
      <c r="I357" s="730"/>
      <c r="J357" s="734"/>
      <c r="W357" s="54"/>
      <c r="Y357" s="25"/>
      <c r="Z357" s="51"/>
    </row>
    <row r="358" spans="2:26">
      <c r="B358" s="123" t="s">
        <v>321</v>
      </c>
      <c r="C358" s="39" t="s">
        <v>219</v>
      </c>
      <c r="D358" s="124">
        <v>360</v>
      </c>
      <c r="E358" s="41">
        <v>45000</v>
      </c>
      <c r="F358" s="47">
        <f>IF(E358="-","-",D358*E358)</f>
        <v>16200000</v>
      </c>
      <c r="G358" s="43"/>
      <c r="H358" s="120"/>
      <c r="I358" s="728">
        <f>SUM(F358:F367)</f>
        <v>86969000</v>
      </c>
      <c r="J358" s="732" t="s">
        <v>218</v>
      </c>
      <c r="W358" s="54"/>
      <c r="Y358" s="25"/>
      <c r="Z358" s="51"/>
    </row>
    <row r="359" spans="2:26">
      <c r="B359" s="703" t="s">
        <v>329</v>
      </c>
      <c r="C359" s="39" t="s">
        <v>219</v>
      </c>
      <c r="D359" s="124">
        <v>140</v>
      </c>
      <c r="E359" s="41">
        <f t="shared" ref="E359:E380" si="39">IFERROR(INDEX(daftar,MATCH(C359,nmdaftar,0),2),"-")</f>
        <v>46000</v>
      </c>
      <c r="F359" s="47">
        <f t="shared" ref="F359:F364" si="40">IF(E359="-","-",D359*E359)</f>
        <v>6440000</v>
      </c>
      <c r="G359" s="43"/>
      <c r="H359" s="120"/>
      <c r="I359" s="729"/>
      <c r="J359" s="733"/>
      <c r="W359" s="54"/>
      <c r="Y359" s="25"/>
      <c r="Z359" s="51"/>
    </row>
    <row r="360" spans="2:26">
      <c r="B360" s="703"/>
      <c r="C360" s="39" t="s">
        <v>226</v>
      </c>
      <c r="D360" s="124">
        <v>44</v>
      </c>
      <c r="E360" s="41">
        <f t="shared" si="39"/>
        <v>95500</v>
      </c>
      <c r="F360" s="47">
        <f t="shared" si="40"/>
        <v>4202000</v>
      </c>
      <c r="G360" s="43"/>
      <c r="H360" s="120"/>
      <c r="I360" s="729"/>
      <c r="J360" s="733"/>
      <c r="W360" s="54"/>
      <c r="Y360" s="25"/>
      <c r="Z360" s="51"/>
    </row>
    <row r="361" spans="2:26">
      <c r="B361" s="704"/>
      <c r="C361" s="39" t="s">
        <v>220</v>
      </c>
      <c r="D361" s="124">
        <v>261</v>
      </c>
      <c r="E361" s="41">
        <f t="shared" si="39"/>
        <v>27000</v>
      </c>
      <c r="F361" s="47">
        <f t="shared" si="40"/>
        <v>7047000</v>
      </c>
      <c r="G361" s="43"/>
      <c r="H361" s="120"/>
      <c r="I361" s="729"/>
      <c r="J361" s="733"/>
      <c r="W361" s="54"/>
      <c r="Y361" s="25"/>
      <c r="Z361" s="51"/>
    </row>
    <row r="362" spans="2:26">
      <c r="B362" s="703" t="s">
        <v>330</v>
      </c>
      <c r="C362" s="39" t="s">
        <v>219</v>
      </c>
      <c r="D362" s="124">
        <v>170</v>
      </c>
      <c r="E362" s="41">
        <f t="shared" si="39"/>
        <v>46000</v>
      </c>
      <c r="F362" s="47">
        <f t="shared" si="40"/>
        <v>7820000</v>
      </c>
      <c r="G362" s="43"/>
      <c r="H362" s="120"/>
      <c r="I362" s="729"/>
      <c r="J362" s="733"/>
      <c r="W362" s="54"/>
      <c r="Y362" s="25"/>
      <c r="Z362" s="51"/>
    </row>
    <row r="363" spans="2:26">
      <c r="B363" s="703"/>
      <c r="C363" s="39" t="s">
        <v>226</v>
      </c>
      <c r="D363" s="124">
        <v>100</v>
      </c>
      <c r="E363" s="41">
        <f t="shared" si="39"/>
        <v>95500</v>
      </c>
      <c r="F363" s="47">
        <f t="shared" si="40"/>
        <v>9550000</v>
      </c>
      <c r="G363" s="43"/>
      <c r="H363" s="120"/>
      <c r="I363" s="729"/>
      <c r="J363" s="733"/>
      <c r="W363" s="54"/>
      <c r="Y363" s="25"/>
      <c r="Z363" s="51"/>
    </row>
    <row r="364" spans="2:26">
      <c r="B364" s="703"/>
      <c r="C364" s="39" t="s">
        <v>222</v>
      </c>
      <c r="D364" s="124">
        <v>100</v>
      </c>
      <c r="E364" s="41">
        <f t="shared" si="39"/>
        <v>14000</v>
      </c>
      <c r="F364" s="47">
        <f t="shared" si="40"/>
        <v>1400000</v>
      </c>
      <c r="G364" s="43"/>
      <c r="H364" s="120"/>
      <c r="I364" s="729"/>
      <c r="J364" s="733"/>
      <c r="W364" s="54"/>
      <c r="Y364" s="25"/>
      <c r="Z364" s="51"/>
    </row>
    <row r="365" spans="2:26">
      <c r="B365" s="704"/>
      <c r="C365" s="39" t="s">
        <v>224</v>
      </c>
      <c r="D365" s="124">
        <v>200</v>
      </c>
      <c r="E365" s="41">
        <f t="shared" si="39"/>
        <v>14000</v>
      </c>
      <c r="F365" s="47">
        <f>IF(E365="-","-",D365*E365)</f>
        <v>2800000</v>
      </c>
      <c r="G365" s="43"/>
      <c r="H365" s="120"/>
      <c r="I365" s="729"/>
      <c r="J365" s="733"/>
      <c r="W365" s="54"/>
      <c r="Y365" s="25"/>
      <c r="Z365" s="51"/>
    </row>
    <row r="366" spans="2:26">
      <c r="B366" s="122" t="s">
        <v>330</v>
      </c>
      <c r="C366" s="39" t="s">
        <v>219</v>
      </c>
      <c r="D366" s="124">
        <v>360</v>
      </c>
      <c r="E366" s="41">
        <f t="shared" si="39"/>
        <v>46000</v>
      </c>
      <c r="F366" s="47">
        <f t="shared" ref="F366:F372" si="41">IF(E366="-","-",D366*E366)</f>
        <v>16560000</v>
      </c>
      <c r="G366" s="43"/>
      <c r="H366" s="120"/>
      <c r="I366" s="729"/>
      <c r="J366" s="733"/>
      <c r="W366" s="54"/>
      <c r="Y366" s="25"/>
      <c r="Z366" s="51"/>
    </row>
    <row r="367" spans="2:26">
      <c r="B367" s="122" t="s">
        <v>330</v>
      </c>
      <c r="C367" s="39" t="s">
        <v>219</v>
      </c>
      <c r="D367" s="124">
        <v>325</v>
      </c>
      <c r="E367" s="41">
        <f t="shared" si="39"/>
        <v>46000</v>
      </c>
      <c r="F367" s="47">
        <f t="shared" si="41"/>
        <v>14950000</v>
      </c>
      <c r="G367" s="43"/>
      <c r="H367" s="120"/>
      <c r="I367" s="730"/>
      <c r="J367" s="734"/>
      <c r="W367" s="54"/>
      <c r="Y367" s="25"/>
      <c r="Z367" s="51"/>
    </row>
    <row r="368" spans="2:26">
      <c r="B368" s="122" t="s">
        <v>325</v>
      </c>
      <c r="C368" s="39" t="s">
        <v>219</v>
      </c>
      <c r="D368" s="124">
        <v>720</v>
      </c>
      <c r="E368" s="41">
        <f t="shared" si="39"/>
        <v>46000</v>
      </c>
      <c r="F368" s="47">
        <f t="shared" si="41"/>
        <v>33120000</v>
      </c>
      <c r="G368" s="43"/>
      <c r="H368" s="120"/>
      <c r="I368" s="728">
        <f>SUM(F368:F369)</f>
        <v>63940000</v>
      </c>
      <c r="J368" s="732" t="s">
        <v>218</v>
      </c>
      <c r="W368" s="54"/>
      <c r="Y368" s="25"/>
      <c r="Z368" s="51"/>
    </row>
    <row r="369" spans="2:26">
      <c r="B369" s="122" t="s">
        <v>325</v>
      </c>
      <c r="C369" s="39" t="s">
        <v>219</v>
      </c>
      <c r="D369" s="124">
        <v>670</v>
      </c>
      <c r="E369" s="41">
        <f t="shared" si="39"/>
        <v>46000</v>
      </c>
      <c r="F369" s="47">
        <f t="shared" si="41"/>
        <v>30820000</v>
      </c>
      <c r="G369" s="43"/>
      <c r="H369" s="120"/>
      <c r="I369" s="730"/>
      <c r="J369" s="734"/>
      <c r="W369" s="54"/>
      <c r="Y369" s="25"/>
      <c r="Z369" s="51"/>
    </row>
    <row r="370" spans="2:26">
      <c r="B370" s="126" t="s">
        <v>331</v>
      </c>
      <c r="C370" s="39" t="s">
        <v>219</v>
      </c>
      <c r="D370" s="127">
        <v>320</v>
      </c>
      <c r="E370" s="41">
        <f t="shared" si="39"/>
        <v>46000</v>
      </c>
      <c r="F370" s="47">
        <f t="shared" si="41"/>
        <v>14720000</v>
      </c>
      <c r="G370" s="43"/>
      <c r="H370" s="120"/>
      <c r="I370" s="728">
        <f>SUM(F370:F372)</f>
        <v>32220000</v>
      </c>
      <c r="J370" s="732" t="s">
        <v>218</v>
      </c>
      <c r="W370" s="54"/>
      <c r="Y370" s="25"/>
      <c r="Z370" s="51"/>
    </row>
    <row r="371" spans="2:26">
      <c r="B371" s="703" t="s">
        <v>331</v>
      </c>
      <c r="C371" s="39" t="s">
        <v>219</v>
      </c>
      <c r="D371" s="127">
        <v>350</v>
      </c>
      <c r="E371" s="41">
        <f t="shared" si="39"/>
        <v>46000</v>
      </c>
      <c r="F371" s="47">
        <f t="shared" si="41"/>
        <v>16100000</v>
      </c>
      <c r="G371" s="43"/>
      <c r="H371" s="120"/>
      <c r="I371" s="729"/>
      <c r="J371" s="733"/>
      <c r="W371" s="54"/>
      <c r="Y371" s="25"/>
      <c r="Z371" s="51"/>
    </row>
    <row r="372" spans="2:26">
      <c r="B372" s="704"/>
      <c r="C372" s="39" t="s">
        <v>222</v>
      </c>
      <c r="D372" s="127">
        <v>100</v>
      </c>
      <c r="E372" s="41">
        <f t="shared" si="39"/>
        <v>14000</v>
      </c>
      <c r="F372" s="47">
        <f t="shared" si="41"/>
        <v>1400000</v>
      </c>
      <c r="G372" s="43"/>
      <c r="H372" s="120"/>
      <c r="I372" s="730"/>
      <c r="J372" s="734"/>
      <c r="W372" s="54"/>
      <c r="Y372" s="25"/>
      <c r="Z372" s="51"/>
    </row>
    <row r="373" spans="2:26">
      <c r="B373" s="135" t="s">
        <v>331</v>
      </c>
      <c r="C373" s="39" t="s">
        <v>219</v>
      </c>
      <c r="D373" s="136">
        <v>700</v>
      </c>
      <c r="E373" s="41">
        <f>IFERROR(INDEX(daftar,MATCH(C373,nmdaftar,0),2),"-")</f>
        <v>46000</v>
      </c>
      <c r="F373" s="47">
        <f t="shared" ref="F373:F399" si="42">IF(E373="-","-",D373*E373)</f>
        <v>32200000</v>
      </c>
      <c r="G373" s="43"/>
      <c r="H373" s="120"/>
      <c r="I373" s="728">
        <f>SUM(F373:F376)</f>
        <v>133400000</v>
      </c>
      <c r="J373" s="732" t="s">
        <v>218</v>
      </c>
      <c r="W373" s="54"/>
      <c r="Y373" s="25"/>
      <c r="Z373" s="51"/>
    </row>
    <row r="374" spans="2:26">
      <c r="B374" s="135" t="s">
        <v>331</v>
      </c>
      <c r="C374" s="39" t="s">
        <v>219</v>
      </c>
      <c r="D374" s="136">
        <v>740</v>
      </c>
      <c r="E374" s="41">
        <f>IFERROR(INDEX(daftar,MATCH(C374,nmdaftar,0),2),"-")</f>
        <v>46000</v>
      </c>
      <c r="F374" s="47">
        <f t="shared" si="42"/>
        <v>34040000</v>
      </c>
      <c r="G374" s="43"/>
      <c r="H374" s="120"/>
      <c r="I374" s="729"/>
      <c r="J374" s="733"/>
      <c r="W374" s="54"/>
      <c r="Y374" s="25"/>
      <c r="Z374" s="51"/>
    </row>
    <row r="375" spans="2:26">
      <c r="B375" s="135">
        <v>45168</v>
      </c>
      <c r="C375" s="39" t="s">
        <v>219</v>
      </c>
      <c r="D375" s="136">
        <v>700</v>
      </c>
      <c r="E375" s="41">
        <f>IFERROR(INDEX(daftar,MATCH(C375,nmdaftar,0),2),"-")</f>
        <v>46000</v>
      </c>
      <c r="F375" s="47">
        <f t="shared" si="42"/>
        <v>32200000</v>
      </c>
      <c r="G375" s="43"/>
      <c r="H375" s="120"/>
      <c r="I375" s="729"/>
      <c r="J375" s="733"/>
      <c r="W375" s="54"/>
      <c r="Y375" s="25"/>
      <c r="Z375" s="51"/>
    </row>
    <row r="376" spans="2:26">
      <c r="B376" s="135">
        <v>45168</v>
      </c>
      <c r="C376" s="39" t="s">
        <v>219</v>
      </c>
      <c r="D376" s="136">
        <v>760</v>
      </c>
      <c r="E376" s="41">
        <f>IFERROR(INDEX(daftar,MATCH(C376,nmdaftar,0),2),"-")</f>
        <v>46000</v>
      </c>
      <c r="F376" s="47">
        <f t="shared" si="42"/>
        <v>34960000</v>
      </c>
      <c r="G376" s="43"/>
      <c r="H376" s="120"/>
      <c r="I376" s="730"/>
      <c r="J376" s="734"/>
      <c r="W376" s="54"/>
      <c r="Y376" s="25"/>
      <c r="Z376" s="51"/>
    </row>
    <row r="377" spans="2:26">
      <c r="B377" s="141">
        <v>45169</v>
      </c>
      <c r="C377" s="39" t="s">
        <v>219</v>
      </c>
      <c r="D377" s="140">
        <v>715</v>
      </c>
      <c r="E377" s="41">
        <f t="shared" si="39"/>
        <v>46000</v>
      </c>
      <c r="F377" s="47">
        <f t="shared" si="42"/>
        <v>32890000</v>
      </c>
      <c r="G377" s="43"/>
      <c r="H377" s="120"/>
      <c r="I377" s="728">
        <f>SUM(F377:F384)</f>
        <v>111170000</v>
      </c>
      <c r="J377" s="910" t="s">
        <v>218</v>
      </c>
      <c r="W377" s="54"/>
      <c r="Y377" s="115"/>
      <c r="Z377" s="51"/>
    </row>
    <row r="378" spans="2:26">
      <c r="B378" s="702">
        <v>45169</v>
      </c>
      <c r="C378" s="39" t="s">
        <v>222</v>
      </c>
      <c r="D378" s="140">
        <v>200</v>
      </c>
      <c r="E378" s="41">
        <f t="shared" si="39"/>
        <v>14000</v>
      </c>
      <c r="F378" s="47">
        <f t="shared" si="42"/>
        <v>2800000</v>
      </c>
      <c r="G378" s="43"/>
      <c r="H378" s="120"/>
      <c r="I378" s="729"/>
      <c r="J378" s="733"/>
      <c r="W378" s="54"/>
      <c r="Y378" s="115"/>
      <c r="Z378" s="51"/>
    </row>
    <row r="379" spans="2:26">
      <c r="B379" s="703"/>
      <c r="C379" s="39" t="s">
        <v>224</v>
      </c>
      <c r="D379" s="140">
        <v>200</v>
      </c>
      <c r="E379" s="41">
        <f t="shared" si="39"/>
        <v>14000</v>
      </c>
      <c r="F379" s="47">
        <f t="shared" si="42"/>
        <v>2800000</v>
      </c>
      <c r="G379" s="43"/>
      <c r="H379" s="120"/>
      <c r="I379" s="729"/>
      <c r="J379" s="733"/>
      <c r="W379" s="54"/>
      <c r="Y379" s="115"/>
      <c r="Z379" s="51"/>
    </row>
    <row r="380" spans="2:26">
      <c r="B380" s="704"/>
      <c r="C380" s="39" t="s">
        <v>219</v>
      </c>
      <c r="D380" s="140">
        <v>210</v>
      </c>
      <c r="E380" s="41">
        <f t="shared" si="39"/>
        <v>46000</v>
      </c>
      <c r="F380" s="47">
        <f t="shared" si="42"/>
        <v>9660000</v>
      </c>
      <c r="G380" s="43"/>
      <c r="H380" s="120"/>
      <c r="I380" s="729"/>
      <c r="J380" s="733"/>
      <c r="W380" s="54"/>
      <c r="Y380" s="115"/>
      <c r="Z380" s="51"/>
    </row>
    <row r="381" spans="2:26">
      <c r="B381" s="139">
        <v>45170</v>
      </c>
      <c r="C381" s="39" t="s">
        <v>219</v>
      </c>
      <c r="D381" s="140">
        <v>330</v>
      </c>
      <c r="E381" s="41">
        <f t="shared" ref="E381:E386" si="43">IFERROR(INDEX(daftar,MATCH(C381,nmdaftar,0),2),"-")</f>
        <v>46000</v>
      </c>
      <c r="F381" s="47">
        <f t="shared" si="42"/>
        <v>15180000</v>
      </c>
      <c r="G381" s="43"/>
      <c r="H381" s="120"/>
      <c r="I381" s="729"/>
      <c r="J381" s="733"/>
      <c r="W381" s="54"/>
      <c r="Y381" s="116"/>
      <c r="Z381" s="51"/>
    </row>
    <row r="382" spans="2:26">
      <c r="B382" s="139">
        <v>45170</v>
      </c>
      <c r="C382" s="39" t="s">
        <v>219</v>
      </c>
      <c r="D382" s="140">
        <v>360</v>
      </c>
      <c r="E382" s="41">
        <f t="shared" si="43"/>
        <v>46000</v>
      </c>
      <c r="F382" s="47">
        <f t="shared" si="42"/>
        <v>16560000</v>
      </c>
      <c r="G382" s="43"/>
      <c r="H382" s="120"/>
      <c r="I382" s="729"/>
      <c r="J382" s="733"/>
      <c r="W382" s="54"/>
      <c r="Y382" s="116"/>
      <c r="Z382" s="51"/>
    </row>
    <row r="383" spans="2:26">
      <c r="B383" s="139">
        <v>45171</v>
      </c>
      <c r="C383" s="39" t="s">
        <v>219</v>
      </c>
      <c r="D383" s="140">
        <v>360</v>
      </c>
      <c r="E383" s="41">
        <f t="shared" si="43"/>
        <v>46000</v>
      </c>
      <c r="F383" s="47">
        <f t="shared" si="42"/>
        <v>16560000</v>
      </c>
      <c r="G383" s="43"/>
      <c r="H383" s="120"/>
      <c r="I383" s="729"/>
      <c r="J383" s="733"/>
      <c r="W383" s="54"/>
      <c r="Y383" s="116"/>
      <c r="Z383" s="51"/>
    </row>
    <row r="384" spans="2:26">
      <c r="B384" s="139">
        <v>45171</v>
      </c>
      <c r="C384" s="39" t="s">
        <v>219</v>
      </c>
      <c r="D384" s="140">
        <v>320</v>
      </c>
      <c r="E384" s="41">
        <f t="shared" si="43"/>
        <v>46000</v>
      </c>
      <c r="F384" s="47">
        <f t="shared" si="42"/>
        <v>14720000</v>
      </c>
      <c r="G384" s="43"/>
      <c r="H384" s="120"/>
      <c r="I384" s="730"/>
      <c r="J384" s="734"/>
      <c r="W384" s="54"/>
      <c r="Y384" s="116"/>
      <c r="Z384" s="51"/>
    </row>
    <row r="385" spans="2:26">
      <c r="B385" s="143">
        <v>45173</v>
      </c>
      <c r="C385" s="39" t="s">
        <v>219</v>
      </c>
      <c r="D385" s="144">
        <v>725</v>
      </c>
      <c r="E385" s="41">
        <f t="shared" si="43"/>
        <v>46000</v>
      </c>
      <c r="F385" s="47">
        <f t="shared" si="42"/>
        <v>33350000</v>
      </c>
      <c r="G385" s="43"/>
      <c r="H385" s="120"/>
      <c r="I385" s="728">
        <f>SUM(F385:F389)</f>
        <v>111730000</v>
      </c>
      <c r="J385" s="732" t="s">
        <v>218</v>
      </c>
      <c r="W385" s="54"/>
      <c r="Y385" s="119"/>
      <c r="Z385" s="51"/>
    </row>
    <row r="386" spans="2:26">
      <c r="B386" s="143">
        <v>45173</v>
      </c>
      <c r="C386" s="39" t="s">
        <v>219</v>
      </c>
      <c r="D386" s="144">
        <v>720</v>
      </c>
      <c r="E386" s="41">
        <f t="shared" si="43"/>
        <v>46000</v>
      </c>
      <c r="F386" s="47">
        <f t="shared" si="42"/>
        <v>33120000</v>
      </c>
      <c r="G386" s="43"/>
      <c r="H386" s="120"/>
      <c r="I386" s="729"/>
      <c r="J386" s="733"/>
      <c r="W386" s="54"/>
      <c r="Y386" s="119"/>
      <c r="Z386" s="51"/>
    </row>
    <row r="387" spans="2:26">
      <c r="B387" s="143">
        <v>45174</v>
      </c>
      <c r="C387" s="39" t="s">
        <v>219</v>
      </c>
      <c r="D387" s="144">
        <v>280</v>
      </c>
      <c r="E387" s="41">
        <v>45000</v>
      </c>
      <c r="F387" s="47">
        <f t="shared" si="42"/>
        <v>12600000</v>
      </c>
      <c r="G387" s="43"/>
      <c r="H387" s="120"/>
      <c r="I387" s="729"/>
      <c r="J387" s="733"/>
      <c r="W387" s="54"/>
      <c r="Y387" s="121"/>
      <c r="Z387" s="51"/>
    </row>
    <row r="388" spans="2:26">
      <c r="B388" s="143">
        <v>45174</v>
      </c>
      <c r="C388" s="39" t="s">
        <v>219</v>
      </c>
      <c r="D388" s="144">
        <v>335</v>
      </c>
      <c r="E388" s="41">
        <f t="shared" ref="E388:E395" si="44">IFERROR(INDEX(daftar,MATCH(C388,nmdaftar,0),2),"-")</f>
        <v>46000</v>
      </c>
      <c r="F388" s="47">
        <f t="shared" si="42"/>
        <v>15410000</v>
      </c>
      <c r="G388" s="43"/>
      <c r="H388" s="120"/>
      <c r="I388" s="729"/>
      <c r="J388" s="733"/>
      <c r="W388" s="54"/>
      <c r="Y388" s="121"/>
      <c r="Z388" s="51"/>
    </row>
    <row r="389" spans="2:26">
      <c r="B389" s="143">
        <v>45175</v>
      </c>
      <c r="C389" s="39" t="s">
        <v>219</v>
      </c>
      <c r="D389" s="144">
        <v>375</v>
      </c>
      <c r="E389" s="41">
        <f t="shared" si="44"/>
        <v>46000</v>
      </c>
      <c r="F389" s="47">
        <f t="shared" si="42"/>
        <v>17250000</v>
      </c>
      <c r="G389" s="43"/>
      <c r="H389" s="120"/>
      <c r="I389" s="730"/>
      <c r="J389" s="734"/>
      <c r="W389" s="54"/>
      <c r="Y389" s="125"/>
      <c r="Z389" s="51"/>
    </row>
    <row r="390" spans="2:26">
      <c r="B390" s="143">
        <v>45175</v>
      </c>
      <c r="C390" s="39" t="s">
        <v>219</v>
      </c>
      <c r="D390" s="144">
        <v>720</v>
      </c>
      <c r="E390" s="41">
        <f t="shared" si="44"/>
        <v>46000</v>
      </c>
      <c r="F390" s="47">
        <f t="shared" si="42"/>
        <v>33120000</v>
      </c>
      <c r="G390" s="43"/>
      <c r="H390" s="120"/>
      <c r="I390" s="728">
        <f>SUM(F390:F392)</f>
        <v>80960000</v>
      </c>
      <c r="J390" s="732" t="s">
        <v>218</v>
      </c>
      <c r="W390" s="54"/>
      <c r="Y390" s="125"/>
      <c r="Z390" s="51"/>
    </row>
    <row r="391" spans="2:26">
      <c r="B391" s="143">
        <v>45176</v>
      </c>
      <c r="C391" s="39" t="s">
        <v>219</v>
      </c>
      <c r="D391" s="144">
        <v>700</v>
      </c>
      <c r="E391" s="41">
        <f t="shared" si="44"/>
        <v>46000</v>
      </c>
      <c r="F391" s="47">
        <f t="shared" si="42"/>
        <v>32200000</v>
      </c>
      <c r="G391" s="43"/>
      <c r="H391" s="120"/>
      <c r="I391" s="729"/>
      <c r="J391" s="733"/>
      <c r="W391" s="54"/>
      <c r="Y391" s="128"/>
      <c r="Z391" s="51"/>
    </row>
    <row r="392" spans="2:26">
      <c r="B392" s="143">
        <v>45176</v>
      </c>
      <c r="C392" s="39" t="s">
        <v>219</v>
      </c>
      <c r="D392" s="144">
        <v>340</v>
      </c>
      <c r="E392" s="41">
        <f t="shared" si="44"/>
        <v>46000</v>
      </c>
      <c r="F392" s="47">
        <f t="shared" si="42"/>
        <v>15640000</v>
      </c>
      <c r="G392" s="43"/>
      <c r="H392" s="120"/>
      <c r="I392" s="730"/>
      <c r="J392" s="734"/>
      <c r="W392" s="54"/>
      <c r="Y392" s="128"/>
      <c r="Z392" s="51"/>
    </row>
    <row r="393" spans="2:26">
      <c r="B393" s="149">
        <v>45177</v>
      </c>
      <c r="C393" s="39" t="s">
        <v>219</v>
      </c>
      <c r="D393" s="148">
        <v>730</v>
      </c>
      <c r="E393" s="41">
        <f t="shared" si="44"/>
        <v>46000</v>
      </c>
      <c r="F393" s="47">
        <f t="shared" si="42"/>
        <v>33580000</v>
      </c>
      <c r="G393" s="43"/>
      <c r="H393" s="120"/>
      <c r="I393" s="56">
        <f>F393+F395</f>
        <v>50140000</v>
      </c>
      <c r="J393" s="911" t="s">
        <v>218</v>
      </c>
      <c r="W393" s="54"/>
      <c r="Y393" s="129"/>
      <c r="Z393" s="51"/>
    </row>
    <row r="394" spans="2:26">
      <c r="B394" s="149">
        <v>45178</v>
      </c>
      <c r="C394" s="39" t="s">
        <v>219</v>
      </c>
      <c r="D394" s="148">
        <v>325</v>
      </c>
      <c r="E394" s="41">
        <f t="shared" si="44"/>
        <v>46000</v>
      </c>
      <c r="F394" s="47">
        <f t="shared" si="42"/>
        <v>14950000</v>
      </c>
      <c r="G394" s="43"/>
      <c r="H394" s="120"/>
      <c r="I394" s="56"/>
      <c r="J394" s="733"/>
      <c r="W394" s="54"/>
      <c r="Y394" s="129"/>
      <c r="Z394" s="51"/>
    </row>
    <row r="395" spans="2:26">
      <c r="B395" s="149">
        <v>45178</v>
      </c>
      <c r="C395" s="39" t="s">
        <v>219</v>
      </c>
      <c r="D395" s="148">
        <v>360</v>
      </c>
      <c r="E395" s="41">
        <f t="shared" si="44"/>
        <v>46000</v>
      </c>
      <c r="F395" s="47">
        <f t="shared" si="42"/>
        <v>16560000</v>
      </c>
      <c r="G395" s="43"/>
      <c r="H395" s="120"/>
      <c r="I395" s="56"/>
      <c r="J395" s="734"/>
      <c r="W395" s="54"/>
      <c r="Y395" s="129"/>
      <c r="Z395" s="51"/>
    </row>
    <row r="396" spans="2:26">
      <c r="B396" s="149">
        <v>45180</v>
      </c>
      <c r="C396" s="39" t="s">
        <v>219</v>
      </c>
      <c r="D396" s="148">
        <v>720</v>
      </c>
      <c r="E396" s="41">
        <f t="shared" ref="E396:E426" si="45">IFERROR(INDEX(daftar,MATCH(C396,nmdaftar,0),2),"-")</f>
        <v>46000</v>
      </c>
      <c r="F396" s="47">
        <f t="shared" si="42"/>
        <v>33120000</v>
      </c>
      <c r="G396" s="43"/>
      <c r="H396" s="120"/>
      <c r="I396" s="914">
        <f>F394+F396+F397+F398</f>
        <v>81420000</v>
      </c>
      <c r="J396" s="911" t="s">
        <v>218</v>
      </c>
      <c r="W396" s="54"/>
      <c r="Y396" s="133"/>
      <c r="Z396" s="51"/>
    </row>
    <row r="397" spans="2:26">
      <c r="B397" s="149">
        <v>45181</v>
      </c>
      <c r="C397" s="39" t="s">
        <v>219</v>
      </c>
      <c r="D397" s="148">
        <v>375</v>
      </c>
      <c r="E397" s="41">
        <f t="shared" si="45"/>
        <v>46000</v>
      </c>
      <c r="F397" s="47">
        <f t="shared" si="42"/>
        <v>17250000</v>
      </c>
      <c r="G397" s="43"/>
      <c r="H397" s="120"/>
      <c r="I397" s="915"/>
      <c r="J397" s="912"/>
      <c r="W397" s="54"/>
      <c r="Y397" s="134"/>
      <c r="Z397" s="51"/>
    </row>
    <row r="398" spans="2:26">
      <c r="B398" s="149">
        <v>45181</v>
      </c>
      <c r="C398" s="39" t="s">
        <v>219</v>
      </c>
      <c r="D398" s="148">
        <v>350</v>
      </c>
      <c r="E398" s="41">
        <f t="shared" si="45"/>
        <v>46000</v>
      </c>
      <c r="F398" s="47">
        <f t="shared" si="42"/>
        <v>16100000</v>
      </c>
      <c r="G398" s="43"/>
      <c r="H398" s="120"/>
      <c r="I398" s="916"/>
      <c r="J398" s="913"/>
      <c r="W398" s="54"/>
      <c r="Y398" s="134"/>
      <c r="Z398" s="51"/>
    </row>
    <row r="399" spans="2:26">
      <c r="B399" s="157">
        <v>45181</v>
      </c>
      <c r="C399" s="39" t="s">
        <v>219</v>
      </c>
      <c r="D399" s="158">
        <v>720</v>
      </c>
      <c r="E399" s="41">
        <f t="shared" si="45"/>
        <v>46000</v>
      </c>
      <c r="F399" s="47">
        <f t="shared" si="42"/>
        <v>33120000</v>
      </c>
      <c r="G399" s="43"/>
      <c r="H399" s="120"/>
      <c r="I399" s="728">
        <f>SUM(F399:F402)</f>
        <v>80040000</v>
      </c>
      <c r="J399" s="732" t="s">
        <v>218</v>
      </c>
      <c r="W399" s="54"/>
      <c r="Y399" s="134"/>
      <c r="Z399" s="51"/>
    </row>
    <row r="400" spans="2:26">
      <c r="B400" s="157">
        <v>45182</v>
      </c>
      <c r="C400" s="39" t="s">
        <v>219</v>
      </c>
      <c r="D400" s="158">
        <v>330</v>
      </c>
      <c r="E400" s="41">
        <f t="shared" si="45"/>
        <v>46000</v>
      </c>
      <c r="F400" s="47">
        <f t="shared" ref="F400:F406" si="46">IF(E400="-","-",D400*E400)</f>
        <v>15180000</v>
      </c>
      <c r="G400" s="43"/>
      <c r="H400" s="120"/>
      <c r="I400" s="729"/>
      <c r="J400" s="733"/>
      <c r="W400" s="54"/>
      <c r="Y400" s="137"/>
      <c r="Z400" s="51"/>
    </row>
    <row r="401" spans="2:26">
      <c r="B401" s="157">
        <v>45182</v>
      </c>
      <c r="C401" s="39" t="s">
        <v>219</v>
      </c>
      <c r="D401" s="158">
        <v>330</v>
      </c>
      <c r="E401" s="41">
        <f t="shared" si="45"/>
        <v>46000</v>
      </c>
      <c r="F401" s="47">
        <f t="shared" si="46"/>
        <v>15180000</v>
      </c>
      <c r="G401" s="43"/>
      <c r="H401" s="120"/>
      <c r="I401" s="729"/>
      <c r="J401" s="733"/>
      <c r="W401" s="54"/>
      <c r="Y401" s="138"/>
      <c r="Z401" s="51"/>
    </row>
    <row r="402" spans="2:26">
      <c r="B402" s="157">
        <v>45182</v>
      </c>
      <c r="C402" s="39" t="s">
        <v>219</v>
      </c>
      <c r="D402" s="158">
        <v>360</v>
      </c>
      <c r="E402" s="41">
        <f t="shared" si="45"/>
        <v>46000</v>
      </c>
      <c r="F402" s="47">
        <f t="shared" si="46"/>
        <v>16560000</v>
      </c>
      <c r="G402" s="43"/>
      <c r="H402" s="120"/>
      <c r="I402" s="730"/>
      <c r="J402" s="734"/>
      <c r="W402" s="54"/>
      <c r="Y402" s="138"/>
      <c r="Z402" s="51"/>
    </row>
    <row r="403" spans="2:26">
      <c r="B403" s="159">
        <v>45183</v>
      </c>
      <c r="C403" s="39" t="s">
        <v>219</v>
      </c>
      <c r="D403" s="160">
        <v>720</v>
      </c>
      <c r="E403" s="41">
        <f t="shared" si="45"/>
        <v>46000</v>
      </c>
      <c r="F403" s="47">
        <f t="shared" si="46"/>
        <v>33120000</v>
      </c>
      <c r="G403" s="43"/>
      <c r="H403" s="120"/>
      <c r="I403" s="728">
        <f>SUM(F403:F414)</f>
        <v>133779500</v>
      </c>
      <c r="J403" s="732" t="s">
        <v>218</v>
      </c>
      <c r="K403" s="51"/>
      <c r="W403" s="54"/>
      <c r="Y403" s="138"/>
      <c r="Z403" s="51"/>
    </row>
    <row r="404" spans="2:26">
      <c r="B404" s="702">
        <v>45183</v>
      </c>
      <c r="C404" s="39" t="s">
        <v>219</v>
      </c>
      <c r="D404" s="160">
        <v>120</v>
      </c>
      <c r="E404" s="41">
        <f t="shared" si="45"/>
        <v>46000</v>
      </c>
      <c r="F404" s="47">
        <f t="shared" si="46"/>
        <v>5520000</v>
      </c>
      <c r="G404" s="43"/>
      <c r="H404" s="120"/>
      <c r="I404" s="729"/>
      <c r="J404" s="733"/>
      <c r="K404" s="51"/>
      <c r="W404" s="54"/>
      <c r="Y404" s="138"/>
      <c r="Z404" s="51"/>
    </row>
    <row r="405" spans="2:26">
      <c r="B405" s="703"/>
      <c r="C405" s="39" t="s">
        <v>220</v>
      </c>
      <c r="D405" s="160">
        <v>170</v>
      </c>
      <c r="E405" s="41">
        <f t="shared" si="45"/>
        <v>27000</v>
      </c>
      <c r="F405" s="47">
        <f t="shared" si="46"/>
        <v>4590000</v>
      </c>
      <c r="G405" s="43"/>
      <c r="H405" s="120"/>
      <c r="I405" s="729"/>
      <c r="J405" s="733"/>
      <c r="K405" s="51"/>
      <c r="W405" s="54"/>
      <c r="Y405" s="138"/>
      <c r="Z405" s="51"/>
    </row>
    <row r="406" spans="2:26">
      <c r="B406" s="704"/>
      <c r="C406" s="39" t="s">
        <v>226</v>
      </c>
      <c r="D406" s="160">
        <v>60</v>
      </c>
      <c r="E406" s="41">
        <f t="shared" si="45"/>
        <v>95500</v>
      </c>
      <c r="F406" s="47">
        <f t="shared" si="46"/>
        <v>5730000</v>
      </c>
      <c r="G406" s="43"/>
      <c r="H406" s="120"/>
      <c r="I406" s="729"/>
      <c r="J406" s="733"/>
      <c r="K406" s="51"/>
      <c r="W406" s="54"/>
      <c r="Y406" s="138"/>
      <c r="Z406" s="51"/>
    </row>
    <row r="407" spans="2:26">
      <c r="B407" s="162">
        <v>45185</v>
      </c>
      <c r="C407" s="39" t="s">
        <v>220</v>
      </c>
      <c r="D407" s="160">
        <v>150</v>
      </c>
      <c r="E407" s="41">
        <f t="shared" si="45"/>
        <v>27000</v>
      </c>
      <c r="F407" s="47">
        <f t="shared" ref="F407:F438" si="47">IF(E407="-","-",D407*E407)</f>
        <v>4050000</v>
      </c>
      <c r="G407" s="43"/>
      <c r="H407" s="120"/>
      <c r="I407" s="729"/>
      <c r="J407" s="733"/>
      <c r="K407" s="51"/>
      <c r="W407" s="54"/>
      <c r="Y407" s="142"/>
      <c r="Z407" s="51"/>
    </row>
    <row r="408" spans="2:26">
      <c r="B408" s="163"/>
      <c r="C408" s="39" t="s">
        <v>219</v>
      </c>
      <c r="D408" s="160">
        <v>150</v>
      </c>
      <c r="E408" s="41">
        <f t="shared" si="45"/>
        <v>46000</v>
      </c>
      <c r="F408" s="47">
        <f t="shared" si="47"/>
        <v>6900000</v>
      </c>
      <c r="G408" s="43"/>
      <c r="H408" s="120"/>
      <c r="I408" s="729"/>
      <c r="J408" s="733"/>
      <c r="K408" s="51"/>
      <c r="W408" s="54"/>
      <c r="Y408" s="142"/>
      <c r="Z408" s="51"/>
    </row>
    <row r="409" spans="2:26">
      <c r="B409" s="164"/>
      <c r="C409" s="39" t="s">
        <v>226</v>
      </c>
      <c r="D409" s="160">
        <v>69</v>
      </c>
      <c r="E409" s="41">
        <f t="shared" si="45"/>
        <v>95500</v>
      </c>
      <c r="F409" s="47">
        <f t="shared" si="47"/>
        <v>6589500</v>
      </c>
      <c r="G409" s="43"/>
      <c r="H409" s="120"/>
      <c r="I409" s="729"/>
      <c r="J409" s="733"/>
      <c r="K409" s="51"/>
      <c r="W409" s="54"/>
      <c r="Y409" s="142"/>
      <c r="Z409" s="51"/>
    </row>
    <row r="410" spans="2:26">
      <c r="B410" s="159">
        <v>45185</v>
      </c>
      <c r="C410" s="39" t="s">
        <v>219</v>
      </c>
      <c r="D410" s="160">
        <v>370</v>
      </c>
      <c r="E410" s="41">
        <f t="shared" si="45"/>
        <v>46000</v>
      </c>
      <c r="F410" s="47">
        <f t="shared" si="47"/>
        <v>17020000</v>
      </c>
      <c r="G410" s="43"/>
      <c r="H410" s="120"/>
      <c r="I410" s="729"/>
      <c r="J410" s="733"/>
      <c r="K410" s="51"/>
      <c r="W410" s="54"/>
      <c r="Y410" s="142"/>
      <c r="Z410" s="51"/>
    </row>
    <row r="411" spans="2:26">
      <c r="B411" s="702">
        <v>45185</v>
      </c>
      <c r="C411" s="39" t="s">
        <v>222</v>
      </c>
      <c r="D411" s="160">
        <v>600</v>
      </c>
      <c r="E411" s="41">
        <f t="shared" si="45"/>
        <v>14000</v>
      </c>
      <c r="F411" s="47">
        <f t="shared" si="47"/>
        <v>8400000</v>
      </c>
      <c r="G411" s="43"/>
      <c r="H411" s="120"/>
      <c r="I411" s="729"/>
      <c r="J411" s="733"/>
      <c r="K411" s="51"/>
      <c r="W411" s="54"/>
      <c r="Y411" s="142"/>
      <c r="Z411" s="51"/>
    </row>
    <row r="412" spans="2:26">
      <c r="B412" s="704"/>
      <c r="C412" s="39" t="s">
        <v>224</v>
      </c>
      <c r="D412" s="160">
        <v>460</v>
      </c>
      <c r="E412" s="41">
        <f t="shared" si="45"/>
        <v>14000</v>
      </c>
      <c r="F412" s="47">
        <f t="shared" si="47"/>
        <v>6440000</v>
      </c>
      <c r="G412" s="43"/>
      <c r="H412" s="120"/>
      <c r="I412" s="729"/>
      <c r="J412" s="733"/>
      <c r="K412" s="51"/>
      <c r="W412" s="54"/>
      <c r="Y412" s="142"/>
      <c r="Z412" s="51"/>
    </row>
    <row r="413" spans="2:26">
      <c r="B413" s="159">
        <v>45187</v>
      </c>
      <c r="C413" s="39" t="s">
        <v>219</v>
      </c>
      <c r="D413" s="160">
        <v>320</v>
      </c>
      <c r="E413" s="41">
        <f t="shared" si="45"/>
        <v>46000</v>
      </c>
      <c r="F413" s="47">
        <f t="shared" si="47"/>
        <v>14720000</v>
      </c>
      <c r="G413" s="43"/>
      <c r="H413" s="120"/>
      <c r="I413" s="729"/>
      <c r="J413" s="733"/>
      <c r="K413" s="51"/>
      <c r="W413" s="54"/>
      <c r="Y413" s="145"/>
      <c r="Z413" s="51"/>
    </row>
    <row r="414" spans="2:26">
      <c r="B414" s="159">
        <v>45187</v>
      </c>
      <c r="C414" s="39" t="s">
        <v>219</v>
      </c>
      <c r="D414" s="160">
        <v>450</v>
      </c>
      <c r="E414" s="41">
        <f t="shared" si="45"/>
        <v>46000</v>
      </c>
      <c r="F414" s="47">
        <f t="shared" si="47"/>
        <v>20700000</v>
      </c>
      <c r="G414" s="43"/>
      <c r="H414" s="120"/>
      <c r="I414" s="730"/>
      <c r="J414" s="734"/>
      <c r="K414" s="51"/>
      <c r="W414" s="54"/>
      <c r="Y414" s="145"/>
      <c r="Z414" s="51"/>
    </row>
    <row r="415" spans="2:26">
      <c r="B415" s="159">
        <v>45187</v>
      </c>
      <c r="C415" s="39" t="s">
        <v>219</v>
      </c>
      <c r="D415" s="160">
        <v>315</v>
      </c>
      <c r="E415" s="41">
        <f t="shared" si="45"/>
        <v>46000</v>
      </c>
      <c r="F415" s="47">
        <f t="shared" si="47"/>
        <v>14490000</v>
      </c>
      <c r="G415" s="43"/>
      <c r="H415" s="120"/>
      <c r="I415" s="728">
        <f>SUM(F415:F416)</f>
        <v>53130000</v>
      </c>
      <c r="J415" s="732" t="s">
        <v>218</v>
      </c>
      <c r="W415" s="54"/>
      <c r="Y415" s="145"/>
      <c r="Z415" s="51"/>
    </row>
    <row r="416" spans="2:26">
      <c r="B416" s="159">
        <v>45187</v>
      </c>
      <c r="C416" s="39" t="s">
        <v>219</v>
      </c>
      <c r="D416" s="160">
        <v>840</v>
      </c>
      <c r="E416" s="41">
        <f t="shared" si="45"/>
        <v>46000</v>
      </c>
      <c r="F416" s="47">
        <f t="shared" si="47"/>
        <v>38640000</v>
      </c>
      <c r="G416" s="43"/>
      <c r="H416" s="120"/>
      <c r="I416" s="730"/>
      <c r="J416" s="734"/>
      <c r="W416" s="54"/>
      <c r="Y416" s="145"/>
      <c r="Z416" s="51"/>
    </row>
    <row r="417" spans="2:26">
      <c r="B417" s="166">
        <v>45188</v>
      </c>
      <c r="C417" s="39" t="s">
        <v>219</v>
      </c>
      <c r="D417" s="167">
        <v>830</v>
      </c>
      <c r="E417" s="41">
        <f t="shared" si="45"/>
        <v>46000</v>
      </c>
      <c r="F417" s="47">
        <f t="shared" si="47"/>
        <v>38180000</v>
      </c>
      <c r="G417" s="43"/>
      <c r="H417" s="120"/>
      <c r="I417" s="728">
        <f>SUM(F417:F419)</f>
        <v>88320000</v>
      </c>
      <c r="J417" s="732" t="s">
        <v>218</v>
      </c>
      <c r="W417" s="54"/>
      <c r="Y417" s="146"/>
      <c r="Z417" s="51"/>
    </row>
    <row r="418" spans="2:26">
      <c r="B418" s="166">
        <v>45189</v>
      </c>
      <c r="C418" s="39" t="s">
        <v>219</v>
      </c>
      <c r="D418" s="167">
        <v>820</v>
      </c>
      <c r="E418" s="41">
        <f t="shared" si="45"/>
        <v>46000</v>
      </c>
      <c r="F418" s="47">
        <f t="shared" si="47"/>
        <v>37720000</v>
      </c>
      <c r="G418" s="43"/>
      <c r="H418" s="120"/>
      <c r="I418" s="729"/>
      <c r="J418" s="733"/>
      <c r="W418" s="54"/>
      <c r="Y418" s="146"/>
      <c r="Z418" s="51"/>
    </row>
    <row r="419" spans="2:26">
      <c r="B419" s="166">
        <v>45189</v>
      </c>
      <c r="C419" s="39" t="s">
        <v>219</v>
      </c>
      <c r="D419" s="167">
        <v>270</v>
      </c>
      <c r="E419" s="41">
        <f t="shared" si="45"/>
        <v>46000</v>
      </c>
      <c r="F419" s="47">
        <f t="shared" si="47"/>
        <v>12420000</v>
      </c>
      <c r="G419" s="43"/>
      <c r="H419" s="120"/>
      <c r="I419" s="730"/>
      <c r="J419" s="734"/>
      <c r="W419" s="54"/>
      <c r="Y419" s="147"/>
      <c r="Z419" s="51"/>
    </row>
    <row r="420" spans="2:26">
      <c r="B420" s="702">
        <v>45190</v>
      </c>
      <c r="C420" s="39" t="s">
        <v>226</v>
      </c>
      <c r="D420" s="170">
        <v>72</v>
      </c>
      <c r="E420" s="41">
        <f t="shared" si="45"/>
        <v>95500</v>
      </c>
      <c r="F420" s="47">
        <f t="shared" si="47"/>
        <v>6876000</v>
      </c>
      <c r="G420" s="43"/>
      <c r="H420" s="120"/>
      <c r="I420" s="728">
        <f>SUM(F420:F424)</f>
        <v>61652000</v>
      </c>
      <c r="J420" s="732" t="s">
        <v>218</v>
      </c>
      <c r="W420" s="54"/>
      <c r="Y420" s="147"/>
      <c r="Z420" s="51"/>
    </row>
    <row r="421" spans="2:26">
      <c r="B421" s="704"/>
      <c r="C421" s="39" t="s">
        <v>220</v>
      </c>
      <c r="D421" s="170">
        <v>308</v>
      </c>
      <c r="E421" s="41">
        <f t="shared" si="45"/>
        <v>27000</v>
      </c>
      <c r="F421" s="47">
        <f t="shared" si="47"/>
        <v>8316000</v>
      </c>
      <c r="G421" s="43"/>
      <c r="H421" s="120"/>
      <c r="I421" s="729"/>
      <c r="J421" s="733"/>
      <c r="W421" s="54"/>
      <c r="Y421" s="147"/>
      <c r="Z421" s="51"/>
    </row>
    <row r="422" spans="2:26">
      <c r="B422" s="169">
        <v>45194</v>
      </c>
      <c r="C422" s="39" t="s">
        <v>219</v>
      </c>
      <c r="D422" s="170">
        <v>350</v>
      </c>
      <c r="E422" s="41">
        <f t="shared" si="45"/>
        <v>46000</v>
      </c>
      <c r="F422" s="47">
        <f t="shared" si="47"/>
        <v>16100000</v>
      </c>
      <c r="G422" s="43"/>
      <c r="H422" s="120"/>
      <c r="I422" s="729"/>
      <c r="J422" s="733"/>
      <c r="W422" s="54"/>
      <c r="Y422" s="147"/>
      <c r="Z422" s="51"/>
    </row>
    <row r="423" spans="2:26">
      <c r="B423" s="169">
        <v>45195</v>
      </c>
      <c r="C423" s="39" t="s">
        <v>219</v>
      </c>
      <c r="D423" s="170">
        <v>325</v>
      </c>
      <c r="E423" s="41">
        <f t="shared" si="45"/>
        <v>46000</v>
      </c>
      <c r="F423" s="47">
        <f t="shared" si="47"/>
        <v>14950000</v>
      </c>
      <c r="G423" s="43"/>
      <c r="H423" s="120"/>
      <c r="I423" s="729"/>
      <c r="J423" s="733"/>
      <c r="W423" s="54"/>
      <c r="Y423" s="150"/>
      <c r="Z423" s="51"/>
    </row>
    <row r="424" spans="2:26">
      <c r="B424" s="169">
        <v>45195</v>
      </c>
      <c r="C424" s="39" t="s">
        <v>219</v>
      </c>
      <c r="D424" s="170">
        <v>335</v>
      </c>
      <c r="E424" s="41">
        <f t="shared" si="45"/>
        <v>46000</v>
      </c>
      <c r="F424" s="47">
        <f t="shared" si="47"/>
        <v>15410000</v>
      </c>
      <c r="G424" s="43"/>
      <c r="H424" s="120"/>
      <c r="I424" s="730"/>
      <c r="J424" s="734"/>
      <c r="W424" s="54"/>
      <c r="Y424" s="150"/>
      <c r="Z424" s="51"/>
    </row>
    <row r="425" spans="2:26">
      <c r="B425" s="175">
        <v>45196</v>
      </c>
      <c r="C425" s="39" t="s">
        <v>219</v>
      </c>
      <c r="D425" s="176">
        <v>480</v>
      </c>
      <c r="E425" s="41">
        <f t="shared" si="45"/>
        <v>46000</v>
      </c>
      <c r="F425" s="47">
        <f t="shared" si="47"/>
        <v>22080000</v>
      </c>
      <c r="G425" s="43"/>
      <c r="H425" s="120"/>
      <c r="I425" s="728">
        <f>SUM(F425:F428)</f>
        <v>98970000</v>
      </c>
      <c r="J425" s="177"/>
      <c r="W425" s="54"/>
      <c r="Y425" s="150"/>
      <c r="Z425" s="51"/>
    </row>
    <row r="426" spans="2:26">
      <c r="B426" s="175">
        <v>45196</v>
      </c>
      <c r="C426" s="39" t="s">
        <v>219</v>
      </c>
      <c r="D426" s="176">
        <v>795</v>
      </c>
      <c r="E426" s="41">
        <f t="shared" si="45"/>
        <v>46000</v>
      </c>
      <c r="F426" s="47">
        <f t="shared" si="47"/>
        <v>36570000</v>
      </c>
      <c r="G426" s="43"/>
      <c r="H426" s="120"/>
      <c r="I426" s="729"/>
      <c r="J426" s="177"/>
      <c r="W426" s="54"/>
      <c r="Y426" s="150"/>
      <c r="Z426" s="51"/>
    </row>
    <row r="427" spans="2:26">
      <c r="B427" s="175">
        <v>45196</v>
      </c>
      <c r="C427" s="39" t="s">
        <v>219</v>
      </c>
      <c r="D427" s="176">
        <v>160</v>
      </c>
      <c r="E427" s="41">
        <v>45000</v>
      </c>
      <c r="F427" s="47">
        <f t="shared" si="47"/>
        <v>7200000</v>
      </c>
      <c r="G427" s="43"/>
      <c r="H427" s="120"/>
      <c r="I427" s="729"/>
      <c r="J427" s="177" t="s">
        <v>333</v>
      </c>
      <c r="W427" s="54"/>
      <c r="Y427" s="156"/>
      <c r="Z427" s="51"/>
    </row>
    <row r="428" spans="2:26">
      <c r="B428" s="175">
        <v>45198</v>
      </c>
      <c r="C428" s="39" t="s">
        <v>219</v>
      </c>
      <c r="D428" s="176">
        <v>720</v>
      </c>
      <c r="E428" s="41">
        <f t="shared" ref="E428:E445" si="48">IFERROR(INDEX(daftar,MATCH(C428,nmdaftar,0),2),"-")</f>
        <v>46000</v>
      </c>
      <c r="F428" s="47">
        <f t="shared" si="47"/>
        <v>33120000</v>
      </c>
      <c r="G428" s="43"/>
      <c r="H428" s="120"/>
      <c r="I428" s="730"/>
      <c r="J428" s="177"/>
      <c r="W428" s="54"/>
      <c r="Y428" s="156"/>
      <c r="Z428" s="51"/>
    </row>
    <row r="429" spans="2:26">
      <c r="B429" s="179">
        <v>45199</v>
      </c>
      <c r="C429" s="39" t="s">
        <v>219</v>
      </c>
      <c r="D429" s="180">
        <v>325</v>
      </c>
      <c r="E429" s="41">
        <f t="shared" si="48"/>
        <v>46000</v>
      </c>
      <c r="F429" s="47">
        <f t="shared" si="47"/>
        <v>14950000</v>
      </c>
      <c r="G429" s="43"/>
      <c r="H429" s="120"/>
      <c r="I429" s="728">
        <f>SUM(F429:F432)</f>
        <v>97520000</v>
      </c>
      <c r="J429" s="732" t="s">
        <v>218</v>
      </c>
      <c r="W429" s="54"/>
      <c r="Y429" s="156"/>
      <c r="Z429" s="51"/>
    </row>
    <row r="430" spans="2:26">
      <c r="B430" s="179">
        <v>45199</v>
      </c>
      <c r="C430" s="39" t="s">
        <v>219</v>
      </c>
      <c r="D430" s="180">
        <v>725</v>
      </c>
      <c r="E430" s="41">
        <f t="shared" si="48"/>
        <v>46000</v>
      </c>
      <c r="F430" s="47">
        <f t="shared" si="47"/>
        <v>33350000</v>
      </c>
      <c r="G430" s="43"/>
      <c r="H430" s="120"/>
      <c r="I430" s="729"/>
      <c r="J430" s="733"/>
      <c r="W430" s="54"/>
      <c r="Y430" s="156"/>
      <c r="Z430" s="51"/>
    </row>
    <row r="431" spans="2:26">
      <c r="B431" s="179">
        <v>45199</v>
      </c>
      <c r="C431" s="39" t="s">
        <v>219</v>
      </c>
      <c r="D431" s="180">
        <v>360</v>
      </c>
      <c r="E431" s="41">
        <f t="shared" si="48"/>
        <v>46000</v>
      </c>
      <c r="F431" s="47">
        <f t="shared" si="47"/>
        <v>16560000</v>
      </c>
      <c r="G431" s="43"/>
      <c r="H431" s="120"/>
      <c r="I431" s="729"/>
      <c r="J431" s="733"/>
      <c r="W431" s="54"/>
      <c r="Y431" s="156"/>
      <c r="Z431" s="51"/>
    </row>
    <row r="432" spans="2:26">
      <c r="B432" s="179">
        <v>45202</v>
      </c>
      <c r="C432" s="39" t="s">
        <v>219</v>
      </c>
      <c r="D432" s="180">
        <v>710</v>
      </c>
      <c r="E432" s="41">
        <f t="shared" si="48"/>
        <v>46000</v>
      </c>
      <c r="F432" s="47">
        <f t="shared" si="47"/>
        <v>32660000</v>
      </c>
      <c r="G432" s="43"/>
      <c r="H432" s="120"/>
      <c r="I432" s="730"/>
      <c r="J432" s="734"/>
      <c r="W432" s="54"/>
      <c r="Y432" s="156"/>
      <c r="Z432" s="51"/>
    </row>
    <row r="433" spans="2:26">
      <c r="B433" s="171">
        <v>45204</v>
      </c>
      <c r="C433" s="151" t="s">
        <v>219</v>
      </c>
      <c r="D433" s="152">
        <v>700</v>
      </c>
      <c r="E433" s="153">
        <f t="shared" si="48"/>
        <v>46000</v>
      </c>
      <c r="F433" s="154">
        <f t="shared" si="47"/>
        <v>32200000</v>
      </c>
      <c r="G433" s="271"/>
      <c r="H433" s="155"/>
      <c r="I433" s="949">
        <f>SUM(F433:F437)</f>
        <v>94760000</v>
      </c>
      <c r="J433" s="976" t="s">
        <v>218</v>
      </c>
      <c r="W433" s="54"/>
      <c r="Y433" s="161"/>
      <c r="Z433" s="51"/>
    </row>
    <row r="434" spans="2:26">
      <c r="B434" s="171">
        <v>45205</v>
      </c>
      <c r="C434" s="151" t="s">
        <v>219</v>
      </c>
      <c r="D434" s="152">
        <v>350</v>
      </c>
      <c r="E434" s="153">
        <f t="shared" si="48"/>
        <v>46000</v>
      </c>
      <c r="F434" s="154">
        <f t="shared" si="47"/>
        <v>16100000</v>
      </c>
      <c r="G434" s="271"/>
      <c r="H434" s="155"/>
      <c r="I434" s="950"/>
      <c r="J434" s="977"/>
      <c r="W434" s="54"/>
      <c r="Y434" s="165"/>
      <c r="Z434" s="51"/>
    </row>
    <row r="435" spans="2:26">
      <c r="B435" s="171">
        <v>45205</v>
      </c>
      <c r="C435" s="151" t="s">
        <v>219</v>
      </c>
      <c r="D435" s="152">
        <v>325</v>
      </c>
      <c r="E435" s="153">
        <f t="shared" si="48"/>
        <v>46000</v>
      </c>
      <c r="F435" s="154">
        <f t="shared" si="47"/>
        <v>14950000</v>
      </c>
      <c r="G435" s="271"/>
      <c r="H435" s="155"/>
      <c r="I435" s="950"/>
      <c r="J435" s="977"/>
      <c r="W435" s="54"/>
      <c r="Y435" s="165"/>
      <c r="Z435" s="51"/>
    </row>
    <row r="436" spans="2:26">
      <c r="B436" s="171">
        <v>45205</v>
      </c>
      <c r="C436" s="151" t="s">
        <v>219</v>
      </c>
      <c r="D436" s="152">
        <v>360</v>
      </c>
      <c r="E436" s="153">
        <f t="shared" si="48"/>
        <v>46000</v>
      </c>
      <c r="F436" s="154">
        <f t="shared" si="47"/>
        <v>16560000</v>
      </c>
      <c r="G436" s="271"/>
      <c r="H436" s="155"/>
      <c r="I436" s="950"/>
      <c r="J436" s="977"/>
      <c r="W436" s="54"/>
      <c r="Y436" s="165"/>
      <c r="Z436" s="51"/>
    </row>
    <row r="437" spans="2:26">
      <c r="B437" s="171">
        <v>45205</v>
      </c>
      <c r="C437" s="151" t="s">
        <v>219</v>
      </c>
      <c r="D437" s="152">
        <v>325</v>
      </c>
      <c r="E437" s="153">
        <f t="shared" si="48"/>
        <v>46000</v>
      </c>
      <c r="F437" s="154">
        <f t="shared" si="47"/>
        <v>14950000</v>
      </c>
      <c r="G437" s="271"/>
      <c r="H437" s="155"/>
      <c r="I437" s="951"/>
      <c r="J437" s="978"/>
      <c r="W437" s="54"/>
      <c r="Y437" s="165"/>
      <c r="Z437" s="51"/>
    </row>
    <row r="438" spans="2:26">
      <c r="B438" s="698">
        <v>45206</v>
      </c>
      <c r="C438" s="191" t="s">
        <v>219</v>
      </c>
      <c r="D438" s="192">
        <v>325</v>
      </c>
      <c r="E438" s="193">
        <f t="shared" si="48"/>
        <v>46000</v>
      </c>
      <c r="F438" s="194">
        <f t="shared" si="47"/>
        <v>14950000</v>
      </c>
      <c r="G438" s="272"/>
      <c r="H438" s="195"/>
      <c r="I438" s="959">
        <f>SUM(F438:F443)</f>
        <v>95473000</v>
      </c>
      <c r="J438" s="980" t="s">
        <v>218</v>
      </c>
      <c r="K438" s="186"/>
      <c r="W438" s="54"/>
      <c r="Y438" s="165"/>
      <c r="Z438" s="51"/>
    </row>
    <row r="439" spans="2:26">
      <c r="B439" s="699"/>
      <c r="C439" s="191" t="s">
        <v>219</v>
      </c>
      <c r="D439" s="192">
        <v>340</v>
      </c>
      <c r="E439" s="193">
        <f t="shared" si="48"/>
        <v>46000</v>
      </c>
      <c r="F439" s="194">
        <f t="shared" ref="F439:F470" si="49">IF(E439="-","-",D439*E439)</f>
        <v>15640000</v>
      </c>
      <c r="G439" s="272"/>
      <c r="H439" s="195"/>
      <c r="I439" s="960"/>
      <c r="J439" s="667"/>
      <c r="W439" s="54"/>
      <c r="Y439" s="165"/>
      <c r="Z439" s="51"/>
    </row>
    <row r="440" spans="2:26">
      <c r="B440" s="698">
        <v>45209</v>
      </c>
      <c r="C440" s="191" t="s">
        <v>219</v>
      </c>
      <c r="D440" s="192">
        <v>330</v>
      </c>
      <c r="E440" s="193">
        <f t="shared" si="48"/>
        <v>46000</v>
      </c>
      <c r="F440" s="194">
        <f t="shared" si="49"/>
        <v>15180000</v>
      </c>
      <c r="G440" s="272"/>
      <c r="H440" s="195"/>
      <c r="I440" s="960"/>
      <c r="J440" s="667"/>
      <c r="W440" s="54"/>
      <c r="Y440" s="165"/>
      <c r="Z440" s="51"/>
    </row>
    <row r="441" spans="2:26">
      <c r="B441" s="799"/>
      <c r="C441" s="191" t="s">
        <v>220</v>
      </c>
      <c r="D441" s="192">
        <v>299</v>
      </c>
      <c r="E441" s="193">
        <f t="shared" si="48"/>
        <v>27000</v>
      </c>
      <c r="F441" s="194">
        <f t="shared" si="49"/>
        <v>8073000</v>
      </c>
      <c r="G441" s="272"/>
      <c r="H441" s="195"/>
      <c r="I441" s="960"/>
      <c r="J441" s="667"/>
      <c r="W441" s="54"/>
      <c r="Y441" s="165"/>
      <c r="Z441" s="51"/>
    </row>
    <row r="442" spans="2:26">
      <c r="B442" s="799"/>
      <c r="C442" s="191" t="s">
        <v>219</v>
      </c>
      <c r="D442" s="192">
        <v>165</v>
      </c>
      <c r="E442" s="193">
        <f t="shared" si="48"/>
        <v>46000</v>
      </c>
      <c r="F442" s="194">
        <f t="shared" si="49"/>
        <v>7590000</v>
      </c>
      <c r="G442" s="272"/>
      <c r="H442" s="195"/>
      <c r="I442" s="960"/>
      <c r="J442" s="667"/>
      <c r="W442" s="54"/>
      <c r="Y442" s="165"/>
      <c r="Z442" s="51"/>
    </row>
    <row r="443" spans="2:26">
      <c r="B443" s="699"/>
      <c r="C443" s="191" t="s">
        <v>219</v>
      </c>
      <c r="D443" s="192">
        <v>740</v>
      </c>
      <c r="E443" s="193">
        <f t="shared" si="48"/>
        <v>46000</v>
      </c>
      <c r="F443" s="194">
        <f t="shared" si="49"/>
        <v>34040000</v>
      </c>
      <c r="G443" s="272"/>
      <c r="H443" s="195"/>
      <c r="I443" s="961"/>
      <c r="J443" s="668"/>
      <c r="W443" s="54"/>
      <c r="Y443" s="165"/>
      <c r="Z443" s="51"/>
    </row>
    <row r="444" spans="2:26">
      <c r="B444" s="849">
        <v>45210</v>
      </c>
      <c r="C444" s="196" t="s">
        <v>220</v>
      </c>
      <c r="D444" s="197">
        <v>825</v>
      </c>
      <c r="E444" s="198">
        <f t="shared" si="48"/>
        <v>27000</v>
      </c>
      <c r="F444" s="199">
        <f t="shared" si="49"/>
        <v>22275000</v>
      </c>
      <c r="G444" s="273"/>
      <c r="H444" s="200"/>
      <c r="I444" s="852">
        <f>SUM(F444:F448)</f>
        <v>76580000</v>
      </c>
      <c r="J444" s="201"/>
      <c r="W444" s="54"/>
      <c r="Y444" s="168"/>
      <c r="Z444" s="51"/>
    </row>
    <row r="445" spans="2:26">
      <c r="B445" s="851"/>
      <c r="C445" s="196" t="s">
        <v>219</v>
      </c>
      <c r="D445" s="197">
        <v>415</v>
      </c>
      <c r="E445" s="198">
        <f t="shared" si="48"/>
        <v>46000</v>
      </c>
      <c r="F445" s="199">
        <f t="shared" si="49"/>
        <v>19090000</v>
      </c>
      <c r="G445" s="273"/>
      <c r="H445" s="200"/>
      <c r="I445" s="853"/>
      <c r="J445" s="201"/>
      <c r="W445" s="54"/>
      <c r="Y445" s="168"/>
      <c r="Z445" s="51"/>
    </row>
    <row r="446" spans="2:26">
      <c r="B446" s="202">
        <v>45210</v>
      </c>
      <c r="C446" s="196" t="s">
        <v>219</v>
      </c>
      <c r="D446" s="197">
        <v>130</v>
      </c>
      <c r="E446" s="198">
        <v>45000</v>
      </c>
      <c r="F446" s="199">
        <f t="shared" si="49"/>
        <v>5850000</v>
      </c>
      <c r="G446" s="273"/>
      <c r="H446" s="200"/>
      <c r="I446" s="853"/>
      <c r="J446" s="201" t="s">
        <v>333</v>
      </c>
      <c r="W446" s="54"/>
      <c r="Y446" s="172"/>
      <c r="Z446" s="51"/>
    </row>
    <row r="447" spans="2:26">
      <c r="B447" s="202">
        <v>45210</v>
      </c>
      <c r="C447" s="196" t="s">
        <v>219</v>
      </c>
      <c r="D447" s="197">
        <v>305</v>
      </c>
      <c r="E447" s="198">
        <v>45000</v>
      </c>
      <c r="F447" s="199">
        <f t="shared" si="49"/>
        <v>13725000</v>
      </c>
      <c r="G447" s="273"/>
      <c r="H447" s="200"/>
      <c r="I447" s="853"/>
      <c r="J447" s="201" t="s">
        <v>333</v>
      </c>
      <c r="W447" s="54"/>
      <c r="Y447" s="172"/>
      <c r="Z447" s="51"/>
    </row>
    <row r="448" spans="2:26">
      <c r="B448" s="202">
        <v>45211</v>
      </c>
      <c r="C448" s="196" t="s">
        <v>219</v>
      </c>
      <c r="D448" s="197">
        <v>340</v>
      </c>
      <c r="E448" s="198">
        <f t="shared" ref="E448:E484" si="50">IFERROR(INDEX(daftar,MATCH(C448,nmdaftar,0),2),"-")</f>
        <v>46000</v>
      </c>
      <c r="F448" s="199">
        <f t="shared" si="49"/>
        <v>15640000</v>
      </c>
      <c r="G448" s="273"/>
      <c r="H448" s="200"/>
      <c r="I448" s="854"/>
      <c r="J448" s="201"/>
      <c r="W448" s="54"/>
      <c r="Y448" s="172"/>
      <c r="Z448" s="51"/>
    </row>
    <row r="449" spans="2:26">
      <c r="B449" s="712">
        <v>45212</v>
      </c>
      <c r="C449" s="203" t="s">
        <v>219</v>
      </c>
      <c r="D449" s="204">
        <v>190</v>
      </c>
      <c r="E449" s="205">
        <f t="shared" si="50"/>
        <v>46000</v>
      </c>
      <c r="F449" s="206">
        <f t="shared" si="49"/>
        <v>8740000</v>
      </c>
      <c r="G449" s="274"/>
      <c r="H449" s="207"/>
      <c r="I449" s="735">
        <f>SUM(F449:F455)</f>
        <v>134710000</v>
      </c>
      <c r="J449" s="979" t="s">
        <v>218</v>
      </c>
      <c r="W449" s="54"/>
      <c r="Y449" s="25"/>
      <c r="Z449" s="51"/>
    </row>
    <row r="450" spans="2:26">
      <c r="B450" s="958"/>
      <c r="C450" s="203" t="s">
        <v>222</v>
      </c>
      <c r="D450" s="204">
        <v>500</v>
      </c>
      <c r="E450" s="205">
        <f t="shared" si="50"/>
        <v>14000</v>
      </c>
      <c r="F450" s="206">
        <f t="shared" si="49"/>
        <v>7000000</v>
      </c>
      <c r="G450" s="274"/>
      <c r="H450" s="207"/>
      <c r="I450" s="749"/>
      <c r="J450" s="751"/>
      <c r="W450" s="54"/>
      <c r="Y450" s="173"/>
      <c r="Z450" s="51"/>
    </row>
    <row r="451" spans="2:26">
      <c r="B451" s="713"/>
      <c r="C451" s="203" t="s">
        <v>224</v>
      </c>
      <c r="D451" s="204">
        <v>300</v>
      </c>
      <c r="E451" s="205">
        <f t="shared" si="50"/>
        <v>14000</v>
      </c>
      <c r="F451" s="206">
        <f t="shared" si="49"/>
        <v>4200000</v>
      </c>
      <c r="G451" s="274"/>
      <c r="H451" s="207"/>
      <c r="I451" s="749"/>
      <c r="J451" s="751"/>
      <c r="W451" s="54"/>
      <c r="Y451" s="173"/>
      <c r="Z451" s="51"/>
    </row>
    <row r="452" spans="2:26">
      <c r="B452" s="208">
        <v>45212</v>
      </c>
      <c r="C452" s="203" t="s">
        <v>219</v>
      </c>
      <c r="D452" s="204">
        <v>720</v>
      </c>
      <c r="E452" s="205">
        <f t="shared" si="50"/>
        <v>46000</v>
      </c>
      <c r="F452" s="206">
        <f t="shared" si="49"/>
        <v>33120000</v>
      </c>
      <c r="G452" s="274"/>
      <c r="H452" s="207"/>
      <c r="I452" s="749"/>
      <c r="J452" s="751"/>
      <c r="W452" s="54"/>
      <c r="Y452" s="173"/>
      <c r="Z452" s="51"/>
    </row>
    <row r="453" spans="2:26">
      <c r="B453" s="208">
        <v>45215</v>
      </c>
      <c r="C453" s="203" t="s">
        <v>219</v>
      </c>
      <c r="D453" s="204">
        <v>720</v>
      </c>
      <c r="E453" s="205">
        <f t="shared" si="50"/>
        <v>46000</v>
      </c>
      <c r="F453" s="206">
        <f t="shared" si="49"/>
        <v>33120000</v>
      </c>
      <c r="G453" s="274"/>
      <c r="H453" s="207"/>
      <c r="I453" s="749"/>
      <c r="J453" s="751"/>
      <c r="W453" s="54"/>
      <c r="Y453" s="173"/>
      <c r="Z453" s="51"/>
    </row>
    <row r="454" spans="2:26">
      <c r="B454" s="208">
        <v>45216</v>
      </c>
      <c r="C454" s="203" t="s">
        <v>219</v>
      </c>
      <c r="D454" s="204">
        <v>720</v>
      </c>
      <c r="E454" s="205">
        <f t="shared" si="50"/>
        <v>46000</v>
      </c>
      <c r="F454" s="206">
        <f t="shared" si="49"/>
        <v>33120000</v>
      </c>
      <c r="G454" s="274"/>
      <c r="H454" s="207"/>
      <c r="I454" s="749"/>
      <c r="J454" s="751"/>
      <c r="W454" s="54"/>
      <c r="Y454" s="173"/>
      <c r="Z454" s="51"/>
    </row>
    <row r="455" spans="2:26">
      <c r="B455" s="208">
        <v>45216</v>
      </c>
      <c r="C455" s="203" t="s">
        <v>219</v>
      </c>
      <c r="D455" s="204">
        <v>335</v>
      </c>
      <c r="E455" s="205">
        <f t="shared" si="50"/>
        <v>46000</v>
      </c>
      <c r="F455" s="206">
        <f t="shared" si="49"/>
        <v>15410000</v>
      </c>
      <c r="G455" s="274"/>
      <c r="H455" s="207"/>
      <c r="I455" s="736"/>
      <c r="J455" s="738"/>
      <c r="W455" s="54"/>
      <c r="Y455" s="173"/>
      <c r="Z455" s="51"/>
    </row>
    <row r="456" spans="2:26">
      <c r="B456" s="211">
        <v>45217</v>
      </c>
      <c r="C456" s="212" t="s">
        <v>219</v>
      </c>
      <c r="D456" s="213">
        <v>360</v>
      </c>
      <c r="E456" s="214">
        <f t="shared" si="50"/>
        <v>46000</v>
      </c>
      <c r="F456" s="215">
        <f t="shared" si="49"/>
        <v>16560000</v>
      </c>
      <c r="G456" s="275"/>
      <c r="H456" s="216"/>
      <c r="I456" s="786">
        <f>SUM(F456:F461)</f>
        <v>118225000</v>
      </c>
      <c r="J456" s="775" t="s">
        <v>218</v>
      </c>
      <c r="W456" s="54"/>
      <c r="Y456" s="178"/>
      <c r="Z456" s="51"/>
    </row>
    <row r="457" spans="2:26">
      <c r="B457" s="211">
        <v>45217</v>
      </c>
      <c r="C457" s="212" t="s">
        <v>219</v>
      </c>
      <c r="D457" s="213">
        <v>375</v>
      </c>
      <c r="E457" s="214">
        <f t="shared" si="50"/>
        <v>46000</v>
      </c>
      <c r="F457" s="215">
        <f t="shared" si="49"/>
        <v>17250000</v>
      </c>
      <c r="G457" s="275"/>
      <c r="H457" s="216"/>
      <c r="I457" s="787"/>
      <c r="J457" s="776"/>
      <c r="W457" s="54"/>
      <c r="Y457" s="178"/>
      <c r="Z457" s="51"/>
    </row>
    <row r="458" spans="2:26">
      <c r="B458" s="211">
        <v>45218</v>
      </c>
      <c r="C458" s="212" t="s">
        <v>219</v>
      </c>
      <c r="D458" s="213">
        <v>700</v>
      </c>
      <c r="E458" s="214">
        <f t="shared" si="50"/>
        <v>46000</v>
      </c>
      <c r="F458" s="215">
        <f t="shared" si="49"/>
        <v>32200000</v>
      </c>
      <c r="G458" s="275"/>
      <c r="H458" s="216"/>
      <c r="I458" s="787"/>
      <c r="J458" s="776"/>
      <c r="W458" s="54"/>
      <c r="Y458" s="178"/>
      <c r="Z458" s="51"/>
    </row>
    <row r="459" spans="2:26">
      <c r="B459" s="792">
        <v>45219</v>
      </c>
      <c r="C459" s="212" t="s">
        <v>219</v>
      </c>
      <c r="D459" s="213">
        <v>210</v>
      </c>
      <c r="E459" s="214">
        <f t="shared" si="50"/>
        <v>46000</v>
      </c>
      <c r="F459" s="215">
        <f t="shared" si="49"/>
        <v>9660000</v>
      </c>
      <c r="G459" s="275"/>
      <c r="H459" s="216"/>
      <c r="I459" s="787"/>
      <c r="J459" s="776"/>
      <c r="W459" s="54"/>
      <c r="Y459" s="178"/>
      <c r="Z459" s="51"/>
    </row>
    <row r="460" spans="2:26">
      <c r="B460" s="793"/>
      <c r="C460" s="212" t="s">
        <v>220</v>
      </c>
      <c r="D460" s="213">
        <v>375</v>
      </c>
      <c r="E460" s="214">
        <f t="shared" si="50"/>
        <v>27000</v>
      </c>
      <c r="F460" s="215">
        <f t="shared" si="49"/>
        <v>10125000</v>
      </c>
      <c r="G460" s="275"/>
      <c r="H460" s="216"/>
      <c r="I460" s="787"/>
      <c r="J460" s="776"/>
      <c r="W460" s="54"/>
      <c r="Y460" s="178"/>
      <c r="Z460" s="51"/>
    </row>
    <row r="461" spans="2:26">
      <c r="B461" s="211">
        <v>45220</v>
      </c>
      <c r="C461" s="212" t="s">
        <v>219</v>
      </c>
      <c r="D461" s="213">
        <v>705</v>
      </c>
      <c r="E461" s="214">
        <f t="shared" si="50"/>
        <v>46000</v>
      </c>
      <c r="F461" s="215">
        <f t="shared" si="49"/>
        <v>32430000</v>
      </c>
      <c r="G461" s="275"/>
      <c r="H461" s="216"/>
      <c r="I461" s="788"/>
      <c r="J461" s="777"/>
      <c r="W461" s="54"/>
      <c r="Y461" s="182"/>
      <c r="Z461" s="51"/>
    </row>
    <row r="462" spans="2:26">
      <c r="B462" s="210">
        <v>45222</v>
      </c>
      <c r="C462" s="196" t="s">
        <v>219</v>
      </c>
      <c r="D462" s="197">
        <v>740</v>
      </c>
      <c r="E462" s="198">
        <f t="shared" si="50"/>
        <v>46000</v>
      </c>
      <c r="F462" s="199">
        <f t="shared" si="49"/>
        <v>34040000</v>
      </c>
      <c r="G462" s="273"/>
      <c r="H462" s="200"/>
      <c r="I462" s="852">
        <f>SUM(F462:F465)</f>
        <v>97980000</v>
      </c>
      <c r="J462" s="822" t="s">
        <v>218</v>
      </c>
      <c r="W462" s="54"/>
      <c r="Y462" s="182"/>
      <c r="Z462" s="51"/>
    </row>
    <row r="463" spans="2:26">
      <c r="B463" s="210">
        <v>45222</v>
      </c>
      <c r="C463" s="196" t="s">
        <v>219</v>
      </c>
      <c r="D463" s="197">
        <v>325</v>
      </c>
      <c r="E463" s="198">
        <f t="shared" si="50"/>
        <v>46000</v>
      </c>
      <c r="F463" s="199">
        <f t="shared" si="49"/>
        <v>14950000</v>
      </c>
      <c r="G463" s="273"/>
      <c r="H463" s="200"/>
      <c r="I463" s="853"/>
      <c r="J463" s="823"/>
      <c r="W463" s="54"/>
      <c r="Y463" s="182"/>
      <c r="Z463" s="51"/>
    </row>
    <row r="464" spans="2:26">
      <c r="B464" s="210">
        <v>45223</v>
      </c>
      <c r="C464" s="196" t="s">
        <v>219</v>
      </c>
      <c r="D464" s="197">
        <v>740</v>
      </c>
      <c r="E464" s="198">
        <f t="shared" si="50"/>
        <v>46000</v>
      </c>
      <c r="F464" s="199">
        <f t="shared" si="49"/>
        <v>34040000</v>
      </c>
      <c r="G464" s="273"/>
      <c r="H464" s="200"/>
      <c r="I464" s="853"/>
      <c r="J464" s="823"/>
      <c r="W464" s="54"/>
      <c r="Y464" s="182"/>
      <c r="Z464" s="51"/>
    </row>
    <row r="465" spans="2:26" s="26" customFormat="1">
      <c r="B465" s="210">
        <v>45224</v>
      </c>
      <c r="C465" s="196" t="s">
        <v>219</v>
      </c>
      <c r="D465" s="197">
        <v>325</v>
      </c>
      <c r="E465" s="198">
        <f t="shared" si="50"/>
        <v>46000</v>
      </c>
      <c r="F465" s="199">
        <f t="shared" si="49"/>
        <v>14950000</v>
      </c>
      <c r="G465" s="273"/>
      <c r="H465" s="200"/>
      <c r="I465" s="854"/>
      <c r="J465" s="824"/>
      <c r="W465" s="68"/>
      <c r="Y465" s="69"/>
      <c r="Z465" s="70"/>
    </row>
    <row r="466" spans="2:26">
      <c r="B466" s="221">
        <v>45224</v>
      </c>
      <c r="C466" s="39" t="s">
        <v>219</v>
      </c>
      <c r="D466" s="222">
        <v>700</v>
      </c>
      <c r="E466" s="41">
        <f t="shared" si="50"/>
        <v>46000</v>
      </c>
      <c r="F466" s="47">
        <f t="shared" si="49"/>
        <v>32200000</v>
      </c>
      <c r="G466" s="43"/>
      <c r="H466" s="874">
        <v>45241</v>
      </c>
      <c r="I466" s="728">
        <f>SUM(F466:F472)</f>
        <v>102780000</v>
      </c>
      <c r="J466" s="220"/>
      <c r="W466" s="54"/>
      <c r="Y466" s="182"/>
      <c r="Z466" s="51"/>
    </row>
    <row r="467" spans="2:26">
      <c r="B467" s="221">
        <v>45225</v>
      </c>
      <c r="C467" s="39" t="s">
        <v>219</v>
      </c>
      <c r="D467" s="222">
        <v>370</v>
      </c>
      <c r="E467" s="41">
        <f t="shared" si="50"/>
        <v>46000</v>
      </c>
      <c r="F467" s="47">
        <f t="shared" si="49"/>
        <v>17020000</v>
      </c>
      <c r="G467" s="43"/>
      <c r="H467" s="908"/>
      <c r="I467" s="729"/>
      <c r="J467" s="220"/>
      <c r="W467" s="54"/>
      <c r="Y467" s="182"/>
      <c r="Z467" s="51"/>
    </row>
    <row r="468" spans="2:26">
      <c r="B468" s="221">
        <v>45225</v>
      </c>
      <c r="C468" s="39" t="s">
        <v>219</v>
      </c>
      <c r="D468" s="222">
        <v>740</v>
      </c>
      <c r="E468" s="41">
        <f t="shared" si="50"/>
        <v>46000</v>
      </c>
      <c r="F468" s="47">
        <f t="shared" si="49"/>
        <v>34040000</v>
      </c>
      <c r="G468" s="43"/>
      <c r="H468" s="908"/>
      <c r="I468" s="729"/>
      <c r="J468" s="220"/>
      <c r="W468" s="54"/>
      <c r="Y468" s="182"/>
      <c r="Z468" s="51"/>
    </row>
    <row r="469" spans="2:26" s="187" customFormat="1">
      <c r="B469" s="224">
        <v>45225</v>
      </c>
      <c r="C469" s="225" t="s">
        <v>222</v>
      </c>
      <c r="D469" s="226">
        <v>200</v>
      </c>
      <c r="E469" s="41">
        <f t="shared" si="50"/>
        <v>14000</v>
      </c>
      <c r="F469" s="227">
        <f t="shared" si="49"/>
        <v>2800000</v>
      </c>
      <c r="G469" s="43"/>
      <c r="H469" s="908"/>
      <c r="I469" s="729"/>
      <c r="J469" s="228" t="s">
        <v>334</v>
      </c>
      <c r="W469" s="188"/>
      <c r="Y469" s="189"/>
      <c r="Z469" s="190"/>
    </row>
    <row r="470" spans="2:26">
      <c r="B470" s="702">
        <v>45225</v>
      </c>
      <c r="C470" s="225" t="s">
        <v>222</v>
      </c>
      <c r="D470" s="222">
        <v>500</v>
      </c>
      <c r="E470" s="41">
        <f t="shared" si="50"/>
        <v>14000</v>
      </c>
      <c r="F470" s="47">
        <f t="shared" si="49"/>
        <v>7000000</v>
      </c>
      <c r="G470" s="43"/>
      <c r="H470" s="908"/>
      <c r="I470" s="729"/>
      <c r="J470" s="220"/>
      <c r="W470" s="54"/>
      <c r="Y470" s="184"/>
      <c r="Z470" s="51"/>
    </row>
    <row r="471" spans="2:26">
      <c r="B471" s="703"/>
      <c r="C471" s="225" t="s">
        <v>224</v>
      </c>
      <c r="D471" s="222">
        <v>300</v>
      </c>
      <c r="E471" s="41">
        <f t="shared" si="50"/>
        <v>14000</v>
      </c>
      <c r="F471" s="47">
        <f t="shared" ref="F471:F499" si="51">IF(E471="-","-",D471*E471)</f>
        <v>4200000</v>
      </c>
      <c r="G471" s="43"/>
      <c r="H471" s="908"/>
      <c r="I471" s="729"/>
      <c r="J471" s="220"/>
      <c r="W471" s="54"/>
      <c r="Y471" s="184"/>
      <c r="Z471" s="51"/>
    </row>
    <row r="472" spans="2:26">
      <c r="B472" s="704"/>
      <c r="C472" s="39" t="s">
        <v>219</v>
      </c>
      <c r="D472" s="222">
        <v>120</v>
      </c>
      <c r="E472" s="41">
        <f t="shared" si="50"/>
        <v>46000</v>
      </c>
      <c r="F472" s="47">
        <f t="shared" si="51"/>
        <v>5520000</v>
      </c>
      <c r="G472" s="43"/>
      <c r="H472" s="875"/>
      <c r="I472" s="730"/>
      <c r="J472" s="220"/>
      <c r="W472" s="54"/>
      <c r="Y472" s="184"/>
      <c r="Z472" s="51"/>
    </row>
    <row r="473" spans="2:26">
      <c r="B473" s="219">
        <v>45226</v>
      </c>
      <c r="C473" s="212" t="s">
        <v>219</v>
      </c>
      <c r="D473" s="213">
        <v>330</v>
      </c>
      <c r="E473" s="214">
        <f t="shared" si="50"/>
        <v>46000</v>
      </c>
      <c r="F473" s="215">
        <f t="shared" si="51"/>
        <v>15180000</v>
      </c>
      <c r="G473" s="275"/>
      <c r="H473" s="962" t="s">
        <v>336</v>
      </c>
      <c r="I473" s="786">
        <f>SUM(F473:F477)</f>
        <v>113451000</v>
      </c>
      <c r="J473" s="229"/>
      <c r="W473" s="54"/>
      <c r="Y473" s="183"/>
      <c r="Z473" s="51"/>
    </row>
    <row r="474" spans="2:26">
      <c r="B474" s="219">
        <v>45227</v>
      </c>
      <c r="C474" s="212" t="s">
        <v>219</v>
      </c>
      <c r="D474" s="213">
        <v>700</v>
      </c>
      <c r="E474" s="214">
        <f t="shared" si="50"/>
        <v>46000</v>
      </c>
      <c r="F474" s="215">
        <f t="shared" si="51"/>
        <v>32200000</v>
      </c>
      <c r="G474" s="275"/>
      <c r="H474" s="963"/>
      <c r="I474" s="787"/>
      <c r="J474" s="229"/>
      <c r="W474" s="54"/>
      <c r="Y474" s="173"/>
      <c r="Z474" s="51"/>
    </row>
    <row r="475" spans="2:26">
      <c r="B475" s="219">
        <v>45229</v>
      </c>
      <c r="C475" s="212" t="s">
        <v>226</v>
      </c>
      <c r="D475" s="213">
        <v>162</v>
      </c>
      <c r="E475" s="214">
        <f t="shared" si="50"/>
        <v>95500</v>
      </c>
      <c r="F475" s="215">
        <f t="shared" si="51"/>
        <v>15471000</v>
      </c>
      <c r="G475" s="275"/>
      <c r="H475" s="963"/>
      <c r="I475" s="787"/>
      <c r="J475" s="229"/>
      <c r="W475" s="54"/>
      <c r="Y475" s="185"/>
      <c r="Z475" s="51"/>
    </row>
    <row r="476" spans="2:26">
      <c r="B476" s="219">
        <v>45229</v>
      </c>
      <c r="C476" s="212" t="s">
        <v>219</v>
      </c>
      <c r="D476" s="213">
        <v>740</v>
      </c>
      <c r="E476" s="214">
        <f t="shared" si="50"/>
        <v>46000</v>
      </c>
      <c r="F476" s="215">
        <f t="shared" si="51"/>
        <v>34040000</v>
      </c>
      <c r="G476" s="275"/>
      <c r="H476" s="963"/>
      <c r="I476" s="787"/>
      <c r="J476" s="229"/>
      <c r="W476" s="54"/>
      <c r="Y476" s="185"/>
      <c r="Z476" s="51"/>
    </row>
    <row r="477" spans="2:26">
      <c r="B477" s="219">
        <v>45231</v>
      </c>
      <c r="C477" s="212" t="s">
        <v>219</v>
      </c>
      <c r="D477" s="213">
        <v>360</v>
      </c>
      <c r="E477" s="214">
        <f t="shared" si="50"/>
        <v>46000</v>
      </c>
      <c r="F477" s="215">
        <f t="shared" si="51"/>
        <v>16560000</v>
      </c>
      <c r="G477" s="275"/>
      <c r="H477" s="964"/>
      <c r="I477" s="788"/>
      <c r="J477" s="229"/>
      <c r="W477" s="54"/>
      <c r="Y477" s="185"/>
      <c r="Z477" s="51"/>
    </row>
    <row r="478" spans="2:26">
      <c r="B478" s="231">
        <v>45234</v>
      </c>
      <c r="C478" s="232" t="s">
        <v>219</v>
      </c>
      <c r="D478" s="233">
        <v>320</v>
      </c>
      <c r="E478" s="234">
        <f t="shared" si="50"/>
        <v>46000</v>
      </c>
      <c r="F478" s="235">
        <f t="shared" si="51"/>
        <v>14720000</v>
      </c>
      <c r="G478" s="276"/>
      <c r="H478" s="952" t="s">
        <v>335</v>
      </c>
      <c r="I478" s="650">
        <f>SUM(F478:F485)</f>
        <v>83340000</v>
      </c>
      <c r="J478" s="237"/>
      <c r="W478" s="54"/>
      <c r="Y478" s="185"/>
      <c r="Z478" s="51"/>
    </row>
    <row r="479" spans="2:26">
      <c r="B479" s="231">
        <v>45234</v>
      </c>
      <c r="C479" s="232" t="s">
        <v>219</v>
      </c>
      <c r="D479" s="233">
        <v>340</v>
      </c>
      <c r="E479" s="234">
        <f t="shared" si="50"/>
        <v>46000</v>
      </c>
      <c r="F479" s="235">
        <f t="shared" si="51"/>
        <v>15640000</v>
      </c>
      <c r="G479" s="276"/>
      <c r="H479" s="953"/>
      <c r="I479" s="651"/>
      <c r="J479" s="237"/>
      <c r="W479" s="54"/>
      <c r="Y479" s="185"/>
      <c r="Z479" s="51"/>
    </row>
    <row r="480" spans="2:26">
      <c r="B480" s="231">
        <v>45234</v>
      </c>
      <c r="C480" s="232" t="s">
        <v>219</v>
      </c>
      <c r="D480" s="233">
        <v>325</v>
      </c>
      <c r="E480" s="234">
        <f t="shared" si="50"/>
        <v>46000</v>
      </c>
      <c r="F480" s="235">
        <f t="shared" si="51"/>
        <v>14950000</v>
      </c>
      <c r="G480" s="276"/>
      <c r="H480" s="953"/>
      <c r="I480" s="651"/>
      <c r="J480" s="237"/>
      <c r="W480" s="54"/>
      <c r="Y480" s="185"/>
      <c r="Z480" s="51"/>
    </row>
    <row r="481" spans="2:26">
      <c r="B481" s="700">
        <v>45234</v>
      </c>
      <c r="C481" s="232" t="s">
        <v>219</v>
      </c>
      <c r="D481" s="233">
        <v>505</v>
      </c>
      <c r="E481" s="234">
        <f t="shared" si="50"/>
        <v>46000</v>
      </c>
      <c r="F481" s="235">
        <f t="shared" si="51"/>
        <v>23230000</v>
      </c>
      <c r="G481" s="276"/>
      <c r="H481" s="953"/>
      <c r="I481" s="651"/>
      <c r="J481" s="237"/>
      <c r="W481" s="54"/>
      <c r="Y481" s="185"/>
      <c r="Z481" s="51"/>
    </row>
    <row r="482" spans="2:26">
      <c r="B482" s="701"/>
      <c r="C482" s="232" t="s">
        <v>226</v>
      </c>
      <c r="D482" s="233">
        <v>100</v>
      </c>
      <c r="E482" s="234">
        <f t="shared" si="50"/>
        <v>95500</v>
      </c>
      <c r="F482" s="235">
        <f t="shared" si="51"/>
        <v>9550000</v>
      </c>
      <c r="G482" s="276"/>
      <c r="H482" s="953"/>
      <c r="I482" s="651"/>
      <c r="J482" s="237"/>
      <c r="W482" s="54"/>
      <c r="Y482" s="185"/>
      <c r="Z482" s="51"/>
    </row>
    <row r="483" spans="2:26">
      <c r="B483" s="700">
        <v>45236</v>
      </c>
      <c r="C483" s="236" t="s">
        <v>222</v>
      </c>
      <c r="D483" s="233">
        <v>100</v>
      </c>
      <c r="E483" s="234">
        <f t="shared" si="50"/>
        <v>14000</v>
      </c>
      <c r="F483" s="235">
        <f t="shared" si="51"/>
        <v>1400000</v>
      </c>
      <c r="G483" s="276"/>
      <c r="H483" s="953"/>
      <c r="I483" s="651"/>
      <c r="J483" s="238" t="s">
        <v>334</v>
      </c>
      <c r="W483" s="54"/>
      <c r="Y483" s="185"/>
      <c r="Z483" s="51"/>
    </row>
    <row r="484" spans="2:26">
      <c r="B484" s="848"/>
      <c r="C484" s="236" t="s">
        <v>224</v>
      </c>
      <c r="D484" s="233">
        <v>50</v>
      </c>
      <c r="E484" s="234">
        <f t="shared" si="50"/>
        <v>14000</v>
      </c>
      <c r="F484" s="235">
        <f t="shared" si="51"/>
        <v>700000</v>
      </c>
      <c r="G484" s="276"/>
      <c r="H484" s="953"/>
      <c r="I484" s="651"/>
      <c r="J484" s="238" t="s">
        <v>334</v>
      </c>
      <c r="W484" s="54"/>
      <c r="Y484" s="185"/>
      <c r="Z484" s="51"/>
    </row>
    <row r="485" spans="2:26">
      <c r="B485" s="701"/>
      <c r="C485" s="232" t="s">
        <v>219</v>
      </c>
      <c r="D485" s="233">
        <v>70</v>
      </c>
      <c r="E485" s="234">
        <v>45000</v>
      </c>
      <c r="F485" s="235">
        <f t="shared" si="51"/>
        <v>3150000</v>
      </c>
      <c r="G485" s="276"/>
      <c r="H485" s="954"/>
      <c r="I485" s="652"/>
      <c r="J485" s="238" t="s">
        <v>334</v>
      </c>
      <c r="W485" s="54"/>
      <c r="Y485" s="185"/>
      <c r="Z485" s="51"/>
    </row>
    <row r="486" spans="2:26">
      <c r="B486" s="239">
        <v>45237</v>
      </c>
      <c r="C486" s="240" t="s">
        <v>219</v>
      </c>
      <c r="D486" s="241">
        <v>740</v>
      </c>
      <c r="E486" s="242">
        <f t="shared" ref="E486:E517" si="52">IFERROR(INDEX(daftar,MATCH(C486,nmdaftar,0),2),"-")</f>
        <v>46000</v>
      </c>
      <c r="F486" s="243">
        <f t="shared" si="51"/>
        <v>34040000</v>
      </c>
      <c r="G486" s="277"/>
      <c r="H486" s="876">
        <v>45252</v>
      </c>
      <c r="I486" s="879">
        <f>SUM(F486:F490)</f>
        <v>95220000</v>
      </c>
      <c r="J486" s="244"/>
      <c r="W486" s="54"/>
      <c r="Y486" s="185"/>
      <c r="Z486" s="51"/>
    </row>
    <row r="487" spans="2:26">
      <c r="B487" s="239">
        <v>45237</v>
      </c>
      <c r="C487" s="240" t="s">
        <v>219</v>
      </c>
      <c r="D487" s="241">
        <v>320</v>
      </c>
      <c r="E487" s="242">
        <f t="shared" si="52"/>
        <v>46000</v>
      </c>
      <c r="F487" s="243">
        <f t="shared" si="51"/>
        <v>14720000</v>
      </c>
      <c r="G487" s="277"/>
      <c r="H487" s="877"/>
      <c r="I487" s="754"/>
      <c r="J487" s="244"/>
      <c r="W487" s="54"/>
      <c r="Y487" s="185"/>
      <c r="Z487" s="51"/>
    </row>
    <row r="488" spans="2:26">
      <c r="B488" s="239">
        <v>45237</v>
      </c>
      <c r="C488" s="240" t="s">
        <v>219</v>
      </c>
      <c r="D488" s="241">
        <v>330</v>
      </c>
      <c r="E488" s="242">
        <f t="shared" si="52"/>
        <v>46000</v>
      </c>
      <c r="F488" s="243">
        <f t="shared" si="51"/>
        <v>15180000</v>
      </c>
      <c r="G488" s="277"/>
      <c r="H488" s="877"/>
      <c r="I488" s="754"/>
      <c r="J488" s="244"/>
      <c r="W488" s="54"/>
      <c r="Y488" s="185"/>
      <c r="Z488" s="51"/>
    </row>
    <row r="489" spans="2:26">
      <c r="B489" s="239">
        <v>45237</v>
      </c>
      <c r="C489" s="240" t="s">
        <v>219</v>
      </c>
      <c r="D489" s="241">
        <v>340</v>
      </c>
      <c r="E489" s="242">
        <f t="shared" si="52"/>
        <v>46000</v>
      </c>
      <c r="F489" s="243">
        <f t="shared" si="51"/>
        <v>15640000</v>
      </c>
      <c r="G489" s="277"/>
      <c r="H489" s="877"/>
      <c r="I489" s="754"/>
      <c r="J489" s="244"/>
      <c r="W489" s="54"/>
      <c r="Y489" s="185"/>
      <c r="Z489" s="51"/>
    </row>
    <row r="490" spans="2:26">
      <c r="B490" s="239">
        <v>45238</v>
      </c>
      <c r="C490" s="240" t="s">
        <v>219</v>
      </c>
      <c r="D490" s="241">
        <v>340</v>
      </c>
      <c r="E490" s="242">
        <f t="shared" si="52"/>
        <v>46000</v>
      </c>
      <c r="F490" s="243">
        <f t="shared" si="51"/>
        <v>15640000</v>
      </c>
      <c r="G490" s="277"/>
      <c r="H490" s="878"/>
      <c r="I490" s="880"/>
      <c r="J490" s="244"/>
      <c r="W490" s="54"/>
      <c r="Y490" s="217"/>
      <c r="Z490" s="51"/>
    </row>
    <row r="491" spans="2:26">
      <c r="B491" s="171">
        <v>45238</v>
      </c>
      <c r="C491" s="151" t="s">
        <v>219</v>
      </c>
      <c r="D491" s="152">
        <v>340</v>
      </c>
      <c r="E491" s="153">
        <f t="shared" si="52"/>
        <v>46000</v>
      </c>
      <c r="F491" s="154">
        <f t="shared" si="51"/>
        <v>15640000</v>
      </c>
      <c r="G491" s="271"/>
      <c r="H491" s="955">
        <v>45254</v>
      </c>
      <c r="I491" s="949">
        <f>SUM(F491:F495)</f>
        <v>95220000</v>
      </c>
      <c r="J491" s="976"/>
      <c r="W491" s="54"/>
      <c r="Y491" s="217"/>
      <c r="Z491" s="51"/>
    </row>
    <row r="492" spans="2:26">
      <c r="B492" s="171">
        <v>45239</v>
      </c>
      <c r="C492" s="151" t="s">
        <v>219</v>
      </c>
      <c r="D492" s="152">
        <v>340</v>
      </c>
      <c r="E492" s="153">
        <f t="shared" si="52"/>
        <v>46000</v>
      </c>
      <c r="F492" s="154">
        <f t="shared" si="51"/>
        <v>15640000</v>
      </c>
      <c r="G492" s="271"/>
      <c r="H492" s="956"/>
      <c r="I492" s="950"/>
      <c r="J492" s="977"/>
      <c r="W492" s="54"/>
      <c r="Y492" s="217"/>
      <c r="Z492" s="51"/>
    </row>
    <row r="493" spans="2:26">
      <c r="B493" s="171">
        <v>45239</v>
      </c>
      <c r="C493" s="151" t="s">
        <v>219</v>
      </c>
      <c r="D493" s="152">
        <v>340</v>
      </c>
      <c r="E493" s="153">
        <f t="shared" si="52"/>
        <v>46000</v>
      </c>
      <c r="F493" s="154">
        <f t="shared" si="51"/>
        <v>15640000</v>
      </c>
      <c r="G493" s="271"/>
      <c r="H493" s="956"/>
      <c r="I493" s="950"/>
      <c r="J493" s="977"/>
      <c r="W493" s="54"/>
      <c r="Y493" s="209"/>
      <c r="Z493" s="51"/>
    </row>
    <row r="494" spans="2:26">
      <c r="B494" s="171">
        <v>45239</v>
      </c>
      <c r="C494" s="151" t="s">
        <v>219</v>
      </c>
      <c r="D494" s="152">
        <v>720</v>
      </c>
      <c r="E494" s="153">
        <f t="shared" si="52"/>
        <v>46000</v>
      </c>
      <c r="F494" s="154">
        <f t="shared" si="51"/>
        <v>33120000</v>
      </c>
      <c r="G494" s="271"/>
      <c r="H494" s="956"/>
      <c r="I494" s="950"/>
      <c r="J494" s="978"/>
      <c r="W494" s="54"/>
      <c r="Y494" s="217"/>
      <c r="Z494" s="51"/>
    </row>
    <row r="495" spans="2:26">
      <c r="B495" s="171">
        <v>45240</v>
      </c>
      <c r="C495" s="151" t="s">
        <v>219</v>
      </c>
      <c r="D495" s="152">
        <v>330</v>
      </c>
      <c r="E495" s="153">
        <f t="shared" si="52"/>
        <v>46000</v>
      </c>
      <c r="F495" s="154">
        <f t="shared" si="51"/>
        <v>15180000</v>
      </c>
      <c r="G495" s="271"/>
      <c r="H495" s="957"/>
      <c r="I495" s="951"/>
      <c r="J495" s="251"/>
      <c r="W495" s="54"/>
      <c r="Y495" s="209"/>
      <c r="Z495" s="51"/>
    </row>
    <row r="496" spans="2:26">
      <c r="B496" s="249">
        <v>45241</v>
      </c>
      <c r="C496" s="191" t="s">
        <v>219</v>
      </c>
      <c r="D496" s="192">
        <v>720</v>
      </c>
      <c r="E496" s="193">
        <f t="shared" si="52"/>
        <v>46000</v>
      </c>
      <c r="F496" s="194">
        <f t="shared" si="51"/>
        <v>33120000</v>
      </c>
      <c r="G496" s="272"/>
      <c r="H496" s="946">
        <v>45264</v>
      </c>
      <c r="I496" s="660">
        <f>SUM(F496:F499)</f>
        <v>98505000</v>
      </c>
      <c r="J496" s="250"/>
      <c r="W496" s="54"/>
      <c r="Y496" s="209"/>
      <c r="Z496" s="51"/>
    </row>
    <row r="497" spans="2:26">
      <c r="B497" s="698">
        <v>45243</v>
      </c>
      <c r="C497" s="191" t="s">
        <v>226</v>
      </c>
      <c r="D497" s="192">
        <v>150</v>
      </c>
      <c r="E497" s="193">
        <f t="shared" si="52"/>
        <v>95500</v>
      </c>
      <c r="F497" s="194">
        <f t="shared" si="51"/>
        <v>14325000</v>
      </c>
      <c r="G497" s="272"/>
      <c r="H497" s="947"/>
      <c r="I497" s="661"/>
      <c r="J497" s="250"/>
      <c r="W497" s="54"/>
      <c r="Y497" s="218"/>
      <c r="Z497" s="51"/>
    </row>
    <row r="498" spans="2:26">
      <c r="B498" s="699"/>
      <c r="C498" s="191" t="s">
        <v>219</v>
      </c>
      <c r="D498" s="192">
        <v>390</v>
      </c>
      <c r="E498" s="193">
        <f t="shared" si="52"/>
        <v>46000</v>
      </c>
      <c r="F498" s="194">
        <f t="shared" si="51"/>
        <v>17940000</v>
      </c>
      <c r="G498" s="272"/>
      <c r="H498" s="947"/>
      <c r="I498" s="661"/>
      <c r="J498" s="250"/>
      <c r="W498" s="54"/>
      <c r="Y498" s="218"/>
      <c r="Z498" s="51"/>
    </row>
    <row r="499" spans="2:26">
      <c r="B499" s="249">
        <v>45244</v>
      </c>
      <c r="C499" s="191" t="s">
        <v>219</v>
      </c>
      <c r="D499" s="192">
        <v>720</v>
      </c>
      <c r="E499" s="193">
        <f t="shared" si="52"/>
        <v>46000</v>
      </c>
      <c r="F499" s="194">
        <f t="shared" si="51"/>
        <v>33120000</v>
      </c>
      <c r="G499" s="272"/>
      <c r="H499" s="948"/>
      <c r="I499" s="662"/>
      <c r="J499" s="250"/>
      <c r="W499" s="54"/>
      <c r="Y499" s="218"/>
      <c r="Z499" s="51"/>
    </row>
    <row r="500" spans="2:26">
      <c r="B500" s="702">
        <v>45245</v>
      </c>
      <c r="C500" s="39" t="s">
        <v>222</v>
      </c>
      <c r="D500" s="248">
        <v>400</v>
      </c>
      <c r="E500" s="41">
        <f t="shared" si="52"/>
        <v>14000</v>
      </c>
      <c r="F500" s="47">
        <f t="shared" ref="F500:F509" si="53">IF(E500="-","-",D500*E500)</f>
        <v>5600000</v>
      </c>
      <c r="G500" s="43"/>
      <c r="H500" s="874">
        <v>45267</v>
      </c>
      <c r="I500" s="728">
        <f>SUM(F500:F503)</f>
        <v>68844000</v>
      </c>
      <c r="J500" s="246"/>
      <c r="W500" s="54"/>
      <c r="Y500" s="223"/>
      <c r="Z500" s="51"/>
    </row>
    <row r="501" spans="2:26">
      <c r="B501" s="703"/>
      <c r="C501" s="39" t="s">
        <v>224</v>
      </c>
      <c r="D501" s="248">
        <v>200</v>
      </c>
      <c r="E501" s="41">
        <f t="shared" si="52"/>
        <v>14000</v>
      </c>
      <c r="F501" s="47">
        <f t="shared" si="53"/>
        <v>2800000</v>
      </c>
      <c r="G501" s="43"/>
      <c r="H501" s="908"/>
      <c r="I501" s="729"/>
      <c r="J501" s="246"/>
      <c r="W501" s="54"/>
      <c r="Y501" s="223"/>
      <c r="Z501" s="51"/>
    </row>
    <row r="502" spans="2:26">
      <c r="B502" s="704"/>
      <c r="C502" s="39" t="s">
        <v>219</v>
      </c>
      <c r="D502" s="248">
        <v>615</v>
      </c>
      <c r="E502" s="41">
        <f t="shared" si="52"/>
        <v>46000</v>
      </c>
      <c r="F502" s="47">
        <f t="shared" si="53"/>
        <v>28290000</v>
      </c>
      <c r="G502" s="43"/>
      <c r="H502" s="908"/>
      <c r="I502" s="729"/>
      <c r="J502" s="246"/>
      <c r="W502" s="54"/>
      <c r="Y502" s="223"/>
      <c r="Z502" s="51"/>
    </row>
    <row r="503" spans="2:26">
      <c r="B503" s="247">
        <v>45246</v>
      </c>
      <c r="C503" s="39" t="s">
        <v>219</v>
      </c>
      <c r="D503" s="248">
        <v>699</v>
      </c>
      <c r="E503" s="41">
        <f t="shared" si="52"/>
        <v>46000</v>
      </c>
      <c r="F503" s="47">
        <f t="shared" si="53"/>
        <v>32154000</v>
      </c>
      <c r="G503" s="43"/>
      <c r="H503" s="875"/>
      <c r="I503" s="730"/>
      <c r="J503" s="246"/>
      <c r="W503" s="54"/>
      <c r="Y503" s="223"/>
      <c r="Z503" s="51"/>
    </row>
    <row r="504" spans="2:26">
      <c r="B504" s="249">
        <v>45250</v>
      </c>
      <c r="C504" s="191" t="s">
        <v>219</v>
      </c>
      <c r="D504" s="192">
        <v>720</v>
      </c>
      <c r="E504" s="193">
        <f t="shared" si="52"/>
        <v>46000</v>
      </c>
      <c r="F504" s="194">
        <f t="shared" si="53"/>
        <v>33120000</v>
      </c>
      <c r="G504" s="272"/>
      <c r="H504" s="946">
        <v>45268</v>
      </c>
      <c r="I504" s="660">
        <f>SUM(F504:F506)</f>
        <v>80040000</v>
      </c>
      <c r="J504" s="250"/>
      <c r="W504" s="54"/>
      <c r="Y504" s="223"/>
      <c r="Z504" s="51"/>
    </row>
    <row r="505" spans="2:26">
      <c r="B505" s="249">
        <v>45250</v>
      </c>
      <c r="C505" s="191" t="s">
        <v>219</v>
      </c>
      <c r="D505" s="192">
        <v>700</v>
      </c>
      <c r="E505" s="193">
        <f t="shared" si="52"/>
        <v>46000</v>
      </c>
      <c r="F505" s="194">
        <f t="shared" si="53"/>
        <v>32200000</v>
      </c>
      <c r="G505" s="272"/>
      <c r="H505" s="947"/>
      <c r="I505" s="661"/>
      <c r="J505" s="250"/>
      <c r="W505" s="54"/>
      <c r="Y505" s="223"/>
      <c r="Z505" s="51"/>
    </row>
    <row r="506" spans="2:26">
      <c r="B506" s="249">
        <v>45250</v>
      </c>
      <c r="C506" s="191" t="s">
        <v>219</v>
      </c>
      <c r="D506" s="192">
        <v>320</v>
      </c>
      <c r="E506" s="193">
        <f t="shared" si="52"/>
        <v>46000</v>
      </c>
      <c r="F506" s="194">
        <f t="shared" si="53"/>
        <v>14720000</v>
      </c>
      <c r="G506" s="272"/>
      <c r="H506" s="948"/>
      <c r="I506" s="662"/>
      <c r="J506" s="250"/>
      <c r="W506" s="54"/>
      <c r="Y506" s="223"/>
      <c r="Z506" s="51"/>
    </row>
    <row r="507" spans="2:26">
      <c r="B507" s="255">
        <v>45253</v>
      </c>
      <c r="C507" s="256" t="s">
        <v>219</v>
      </c>
      <c r="D507" s="257">
        <v>320</v>
      </c>
      <c r="E507" s="258">
        <f t="shared" si="52"/>
        <v>46000</v>
      </c>
      <c r="F507" s="259">
        <f t="shared" si="53"/>
        <v>14720000</v>
      </c>
      <c r="G507" s="278"/>
      <c r="H507" s="970">
        <v>45271</v>
      </c>
      <c r="I507" s="973">
        <f>SUM(F507:F509)+F512</f>
        <v>67220000</v>
      </c>
      <c r="J507" s="260"/>
      <c r="W507" s="54"/>
      <c r="Y507" s="223"/>
      <c r="Z507" s="51"/>
    </row>
    <row r="508" spans="2:26">
      <c r="B508" s="255">
        <v>45253</v>
      </c>
      <c r="C508" s="256" t="s">
        <v>219</v>
      </c>
      <c r="D508" s="257">
        <v>720</v>
      </c>
      <c r="E508" s="258">
        <f t="shared" si="52"/>
        <v>46000</v>
      </c>
      <c r="F508" s="259">
        <f t="shared" si="53"/>
        <v>33120000</v>
      </c>
      <c r="G508" s="278"/>
      <c r="H508" s="971"/>
      <c r="I508" s="974"/>
      <c r="J508" s="260"/>
      <c r="W508" s="54"/>
      <c r="Y508" s="223"/>
      <c r="Z508" s="51"/>
    </row>
    <row r="509" spans="2:26">
      <c r="B509" s="255">
        <v>45254</v>
      </c>
      <c r="C509" s="256" t="s">
        <v>219</v>
      </c>
      <c r="D509" s="257">
        <v>330</v>
      </c>
      <c r="E509" s="258">
        <f t="shared" si="52"/>
        <v>46000</v>
      </c>
      <c r="F509" s="259">
        <f t="shared" si="53"/>
        <v>15180000</v>
      </c>
      <c r="G509" s="278"/>
      <c r="H509" s="972"/>
      <c r="I509" s="975"/>
      <c r="J509" s="260"/>
      <c r="W509" s="54"/>
      <c r="Y509" s="223"/>
      <c r="Z509" s="51"/>
    </row>
    <row r="510" spans="2:26">
      <c r="B510" s="239">
        <v>45257</v>
      </c>
      <c r="C510" s="240" t="s">
        <v>219</v>
      </c>
      <c r="D510" s="241">
        <v>330</v>
      </c>
      <c r="E510" s="242">
        <f t="shared" si="52"/>
        <v>46000</v>
      </c>
      <c r="F510" s="243">
        <f t="shared" ref="F510:F541" si="54">IF(E510="-","-",D510*E510)</f>
        <v>15180000</v>
      </c>
      <c r="G510" s="277"/>
      <c r="H510" s="881">
        <v>45272</v>
      </c>
      <c r="I510" s="879">
        <f>SUM(F510:F511)</f>
        <v>47840000</v>
      </c>
      <c r="J510" s="244"/>
      <c r="W510" s="54"/>
      <c r="Y510" s="230"/>
      <c r="Z510" s="51"/>
    </row>
    <row r="511" spans="2:26">
      <c r="B511" s="239">
        <v>45257</v>
      </c>
      <c r="C511" s="240" t="s">
        <v>219</v>
      </c>
      <c r="D511" s="241">
        <v>710</v>
      </c>
      <c r="E511" s="242">
        <f t="shared" si="52"/>
        <v>46000</v>
      </c>
      <c r="F511" s="243">
        <f t="shared" si="54"/>
        <v>32660000</v>
      </c>
      <c r="G511" s="277"/>
      <c r="H511" s="882"/>
      <c r="I511" s="880"/>
      <c r="J511" s="244"/>
      <c r="W511" s="54"/>
      <c r="Y511" s="230"/>
      <c r="Z511" s="51"/>
    </row>
    <row r="512" spans="2:26">
      <c r="B512" s="255">
        <v>45257</v>
      </c>
      <c r="C512" s="256" t="s">
        <v>222</v>
      </c>
      <c r="D512" s="257">
        <v>300</v>
      </c>
      <c r="E512" s="258">
        <f t="shared" si="52"/>
        <v>14000</v>
      </c>
      <c r="F512" s="259">
        <f t="shared" si="54"/>
        <v>4200000</v>
      </c>
      <c r="G512" s="278"/>
      <c r="H512" s="265">
        <v>45271</v>
      </c>
      <c r="I512" s="254"/>
      <c r="J512" s="260" t="s">
        <v>333</v>
      </c>
      <c r="W512" s="54"/>
      <c r="Y512" s="245"/>
      <c r="Z512" s="51"/>
    </row>
    <row r="513" spans="2:26">
      <c r="B513" s="262">
        <v>45258</v>
      </c>
      <c r="C513" s="203" t="s">
        <v>219</v>
      </c>
      <c r="D513" s="204">
        <v>720</v>
      </c>
      <c r="E513" s="205">
        <f t="shared" si="52"/>
        <v>46000</v>
      </c>
      <c r="F513" s="206">
        <f t="shared" si="54"/>
        <v>33120000</v>
      </c>
      <c r="G513" s="274"/>
      <c r="H513" s="871">
        <v>45274</v>
      </c>
      <c r="I513" s="735">
        <f>SUM(F513:F517)</f>
        <v>64520000</v>
      </c>
      <c r="J513" s="280"/>
      <c r="W513" s="54"/>
      <c r="Y513" s="245"/>
      <c r="Z513" s="51"/>
    </row>
    <row r="514" spans="2:26">
      <c r="B514" s="262">
        <v>45260</v>
      </c>
      <c r="C514" s="203" t="s">
        <v>219</v>
      </c>
      <c r="D514" s="204">
        <v>315</v>
      </c>
      <c r="E514" s="205">
        <f t="shared" si="52"/>
        <v>46000</v>
      </c>
      <c r="F514" s="206">
        <f t="shared" si="54"/>
        <v>14490000</v>
      </c>
      <c r="G514" s="274"/>
      <c r="H514" s="872"/>
      <c r="I514" s="749"/>
      <c r="J514" s="280"/>
      <c r="W514" s="54"/>
      <c r="Y514" s="245"/>
      <c r="Z514" s="51"/>
    </row>
    <row r="515" spans="2:26">
      <c r="B515" s="712">
        <v>45261</v>
      </c>
      <c r="C515" s="203" t="s">
        <v>222</v>
      </c>
      <c r="D515" s="204">
        <v>500</v>
      </c>
      <c r="E515" s="205">
        <f t="shared" si="52"/>
        <v>14000</v>
      </c>
      <c r="F515" s="206">
        <f t="shared" si="54"/>
        <v>7000000</v>
      </c>
      <c r="G515" s="274"/>
      <c r="H515" s="872"/>
      <c r="I515" s="749"/>
      <c r="J515" s="280"/>
      <c r="W515" s="54"/>
      <c r="Y515" s="245"/>
      <c r="Z515" s="51"/>
    </row>
    <row r="516" spans="2:26">
      <c r="B516" s="958"/>
      <c r="C516" s="203" t="s">
        <v>224</v>
      </c>
      <c r="D516" s="204">
        <v>100</v>
      </c>
      <c r="E516" s="205">
        <f t="shared" si="52"/>
        <v>14000</v>
      </c>
      <c r="F516" s="206">
        <f t="shared" si="54"/>
        <v>1400000</v>
      </c>
      <c r="G516" s="274"/>
      <c r="H516" s="872"/>
      <c r="I516" s="749"/>
      <c r="J516" s="280"/>
      <c r="W516" s="54"/>
      <c r="Y516" s="245"/>
      <c r="Z516" s="51"/>
    </row>
    <row r="517" spans="2:26">
      <c r="B517" s="713"/>
      <c r="C517" s="203" t="s">
        <v>219</v>
      </c>
      <c r="D517" s="204">
        <v>185</v>
      </c>
      <c r="E517" s="205">
        <f t="shared" si="52"/>
        <v>46000</v>
      </c>
      <c r="F517" s="206">
        <f t="shared" si="54"/>
        <v>8510000</v>
      </c>
      <c r="G517" s="274"/>
      <c r="H517" s="873"/>
      <c r="I517" s="736"/>
      <c r="J517" s="280"/>
      <c r="W517" s="54"/>
      <c r="Y517" s="230"/>
      <c r="Z517" s="51"/>
    </row>
    <row r="518" spans="2:26">
      <c r="B518" s="263">
        <v>45262</v>
      </c>
      <c r="C518" s="191" t="s">
        <v>219</v>
      </c>
      <c r="D518" s="192">
        <v>330</v>
      </c>
      <c r="E518" s="193">
        <f t="shared" ref="E518:E549" si="55">IFERROR(INDEX(daftar,MATCH(C518,nmdaftar,0),2),"-")</f>
        <v>46000</v>
      </c>
      <c r="F518" s="194">
        <f t="shared" si="54"/>
        <v>15180000</v>
      </c>
      <c r="G518" s="272"/>
      <c r="H518" s="965">
        <v>45275</v>
      </c>
      <c r="I518" s="660">
        <f>F518+F519</f>
        <v>30820000</v>
      </c>
      <c r="J518" s="250"/>
      <c r="W518" s="54"/>
      <c r="Y518" s="245"/>
      <c r="Z518" s="51"/>
    </row>
    <row r="519" spans="2:26">
      <c r="B519" s="263">
        <v>45264</v>
      </c>
      <c r="C519" s="191" t="s">
        <v>219</v>
      </c>
      <c r="D519" s="192">
        <v>340</v>
      </c>
      <c r="E519" s="193">
        <f t="shared" si="55"/>
        <v>46000</v>
      </c>
      <c r="F519" s="194">
        <f t="shared" si="54"/>
        <v>15640000</v>
      </c>
      <c r="G519" s="272"/>
      <c r="H519" s="966"/>
      <c r="I519" s="662"/>
      <c r="J519" s="250"/>
      <c r="W519" s="54"/>
      <c r="Y519" s="245"/>
      <c r="Z519" s="51"/>
    </row>
    <row r="520" spans="2:26">
      <c r="B520" s="282">
        <v>45265</v>
      </c>
      <c r="C520" s="283" t="s">
        <v>219</v>
      </c>
      <c r="D520" s="284">
        <v>320</v>
      </c>
      <c r="E520" s="285">
        <f t="shared" si="55"/>
        <v>46000</v>
      </c>
      <c r="F520" s="286">
        <f t="shared" si="54"/>
        <v>14720000</v>
      </c>
      <c r="G520" s="287"/>
      <c r="H520" s="987">
        <v>45279</v>
      </c>
      <c r="I520" s="967">
        <f>SUM(F520:F524)</f>
        <v>92920000</v>
      </c>
      <c r="J520" s="288"/>
      <c r="W520" s="54"/>
      <c r="Y520" s="245"/>
      <c r="Z520" s="51"/>
    </row>
    <row r="521" spans="2:26">
      <c r="B521" s="282">
        <v>45266</v>
      </c>
      <c r="C521" s="283" t="s">
        <v>219</v>
      </c>
      <c r="D521" s="284">
        <v>320</v>
      </c>
      <c r="E521" s="285">
        <f t="shared" si="55"/>
        <v>46000</v>
      </c>
      <c r="F521" s="286">
        <f t="shared" si="54"/>
        <v>14720000</v>
      </c>
      <c r="G521" s="287"/>
      <c r="H521" s="988"/>
      <c r="I521" s="968"/>
      <c r="J521" s="288"/>
      <c r="W521" s="54"/>
      <c r="Y521" s="245"/>
      <c r="Z521" s="51"/>
    </row>
    <row r="522" spans="2:26">
      <c r="B522" s="282">
        <v>45266</v>
      </c>
      <c r="C522" s="283" t="s">
        <v>219</v>
      </c>
      <c r="D522" s="284">
        <v>740</v>
      </c>
      <c r="E522" s="285">
        <f t="shared" si="55"/>
        <v>46000</v>
      </c>
      <c r="F522" s="286">
        <f t="shared" si="54"/>
        <v>34040000</v>
      </c>
      <c r="G522" s="287"/>
      <c r="H522" s="988"/>
      <c r="I522" s="968"/>
      <c r="J522" s="288"/>
      <c r="W522" s="54"/>
      <c r="Y522" s="245"/>
      <c r="Z522" s="51"/>
    </row>
    <row r="523" spans="2:26">
      <c r="B523" s="282">
        <v>45267</v>
      </c>
      <c r="C523" s="283" t="s">
        <v>219</v>
      </c>
      <c r="D523" s="284">
        <v>320</v>
      </c>
      <c r="E523" s="285">
        <f t="shared" si="55"/>
        <v>46000</v>
      </c>
      <c r="F523" s="286">
        <f t="shared" si="54"/>
        <v>14720000</v>
      </c>
      <c r="G523" s="287"/>
      <c r="H523" s="988"/>
      <c r="I523" s="968"/>
      <c r="J523" s="288"/>
      <c r="W523" s="54"/>
      <c r="Y523" s="245"/>
      <c r="Z523" s="51"/>
    </row>
    <row r="524" spans="2:26">
      <c r="B524" s="282">
        <v>45267</v>
      </c>
      <c r="C524" s="283" t="s">
        <v>219</v>
      </c>
      <c r="D524" s="284">
        <v>320</v>
      </c>
      <c r="E524" s="285">
        <f t="shared" si="55"/>
        <v>46000</v>
      </c>
      <c r="F524" s="286">
        <f t="shared" si="54"/>
        <v>14720000</v>
      </c>
      <c r="G524" s="287"/>
      <c r="H524" s="989"/>
      <c r="I524" s="969"/>
      <c r="J524" s="288"/>
      <c r="W524" s="54"/>
      <c r="Y524" s="245"/>
      <c r="Z524" s="51"/>
    </row>
    <row r="525" spans="2:26">
      <c r="B525" s="696">
        <v>45267</v>
      </c>
      <c r="C525" s="291" t="s">
        <v>226</v>
      </c>
      <c r="D525" s="292">
        <v>75</v>
      </c>
      <c r="E525" s="293">
        <f t="shared" si="55"/>
        <v>95500</v>
      </c>
      <c r="F525" s="294">
        <f t="shared" si="54"/>
        <v>7162500</v>
      </c>
      <c r="G525" s="295"/>
      <c r="H525" s="837">
        <v>45288</v>
      </c>
      <c r="I525" s="656">
        <f>SUM(F525:F529)</f>
        <v>101462500</v>
      </c>
      <c r="J525" s="297"/>
      <c r="W525" s="54"/>
      <c r="Y525" s="245"/>
      <c r="Z525" s="51"/>
    </row>
    <row r="526" spans="2:26">
      <c r="B526" s="697"/>
      <c r="C526" s="291" t="s">
        <v>219</v>
      </c>
      <c r="D526" s="292">
        <v>640</v>
      </c>
      <c r="E526" s="293">
        <f t="shared" si="55"/>
        <v>46000</v>
      </c>
      <c r="F526" s="294">
        <f t="shared" si="54"/>
        <v>29440000</v>
      </c>
      <c r="G526" s="295"/>
      <c r="H526" s="838"/>
      <c r="I526" s="669"/>
      <c r="J526" s="297"/>
      <c r="W526" s="54"/>
      <c r="Y526" s="245"/>
      <c r="Z526" s="51"/>
    </row>
    <row r="527" spans="2:26">
      <c r="B527" s="296">
        <v>45267</v>
      </c>
      <c r="C527" s="291" t="s">
        <v>219</v>
      </c>
      <c r="D527" s="292">
        <v>350</v>
      </c>
      <c r="E527" s="293">
        <f t="shared" si="55"/>
        <v>46000</v>
      </c>
      <c r="F527" s="294">
        <f t="shared" si="54"/>
        <v>16100000</v>
      </c>
      <c r="G527" s="295"/>
      <c r="H527" s="838"/>
      <c r="I527" s="669"/>
      <c r="J527" s="297"/>
      <c r="W527" s="54"/>
      <c r="Y527" s="245"/>
      <c r="Z527" s="51"/>
    </row>
    <row r="528" spans="2:26">
      <c r="B528" s="296">
        <v>45267</v>
      </c>
      <c r="C528" s="291" t="s">
        <v>219</v>
      </c>
      <c r="D528" s="292">
        <v>320</v>
      </c>
      <c r="E528" s="293">
        <f t="shared" si="55"/>
        <v>46000</v>
      </c>
      <c r="F528" s="294">
        <f t="shared" si="54"/>
        <v>14720000</v>
      </c>
      <c r="G528" s="295"/>
      <c r="H528" s="838"/>
      <c r="I528" s="669"/>
      <c r="J528" s="297"/>
      <c r="W528" s="54"/>
      <c r="Y528" s="245"/>
      <c r="Z528" s="51"/>
    </row>
    <row r="529" spans="2:26">
      <c r="B529" s="296">
        <v>45268</v>
      </c>
      <c r="C529" s="291" t="s">
        <v>219</v>
      </c>
      <c r="D529" s="292">
        <v>740</v>
      </c>
      <c r="E529" s="293">
        <f t="shared" si="55"/>
        <v>46000</v>
      </c>
      <c r="F529" s="294">
        <f t="shared" si="54"/>
        <v>34040000</v>
      </c>
      <c r="G529" s="295"/>
      <c r="H529" s="839"/>
      <c r="I529" s="657"/>
      <c r="J529" s="297"/>
      <c r="W529" s="54"/>
      <c r="Y529" s="230"/>
      <c r="Z529" s="51"/>
    </row>
    <row r="530" spans="2:26">
      <c r="B530" s="299">
        <v>45269</v>
      </c>
      <c r="C530" s="300" t="s">
        <v>219</v>
      </c>
      <c r="D530" s="301">
        <v>720</v>
      </c>
      <c r="E530" s="302">
        <f t="shared" si="55"/>
        <v>46000</v>
      </c>
      <c r="F530" s="303">
        <f t="shared" si="54"/>
        <v>33120000</v>
      </c>
      <c r="G530" s="304"/>
      <c r="H530" s="889">
        <v>45291</v>
      </c>
      <c r="I530" s="886">
        <f>SUM(F530:F533)</f>
        <v>86630000</v>
      </c>
      <c r="J530" s="305"/>
      <c r="W530" s="54"/>
      <c r="Y530" s="230"/>
      <c r="Z530" s="51"/>
    </row>
    <row r="531" spans="2:26">
      <c r="B531" s="299">
        <v>45271</v>
      </c>
      <c r="C531" s="300" t="s">
        <v>219</v>
      </c>
      <c r="D531" s="301">
        <v>320</v>
      </c>
      <c r="E531" s="302">
        <f t="shared" si="55"/>
        <v>46000</v>
      </c>
      <c r="F531" s="303">
        <f t="shared" si="54"/>
        <v>14720000</v>
      </c>
      <c r="G531" s="304"/>
      <c r="H531" s="890"/>
      <c r="I531" s="887"/>
      <c r="J531" s="305"/>
      <c r="W531" s="54"/>
      <c r="Y531" s="252"/>
      <c r="Z531" s="51"/>
    </row>
    <row r="532" spans="2:26">
      <c r="B532" s="299">
        <v>45271</v>
      </c>
      <c r="C532" s="300" t="s">
        <v>226</v>
      </c>
      <c r="D532" s="301">
        <v>180</v>
      </c>
      <c r="E532" s="302">
        <f t="shared" si="55"/>
        <v>95500</v>
      </c>
      <c r="F532" s="303">
        <f t="shared" si="54"/>
        <v>17190000</v>
      </c>
      <c r="G532" s="304"/>
      <c r="H532" s="890"/>
      <c r="I532" s="887"/>
      <c r="J532" s="305"/>
      <c r="W532" s="54"/>
      <c r="Y532" s="252"/>
      <c r="Z532" s="51"/>
    </row>
    <row r="533" spans="2:26">
      <c r="B533" s="299">
        <v>45272</v>
      </c>
      <c r="C533" s="300" t="s">
        <v>220</v>
      </c>
      <c r="D533" s="301">
        <v>800</v>
      </c>
      <c r="E533" s="302">
        <f t="shared" si="55"/>
        <v>27000</v>
      </c>
      <c r="F533" s="303">
        <f t="shared" si="54"/>
        <v>21600000</v>
      </c>
      <c r="G533" s="304"/>
      <c r="H533" s="891"/>
      <c r="I533" s="888"/>
      <c r="J533" s="305"/>
      <c r="W533" s="54"/>
      <c r="Y533" s="253"/>
      <c r="Z533" s="51"/>
    </row>
    <row r="534" spans="2:26">
      <c r="B534" s="894">
        <v>45273</v>
      </c>
      <c r="C534" s="283" t="s">
        <v>222</v>
      </c>
      <c r="D534" s="284">
        <v>400</v>
      </c>
      <c r="E534" s="285">
        <f t="shared" si="55"/>
        <v>14000</v>
      </c>
      <c r="F534" s="286">
        <f t="shared" si="54"/>
        <v>5600000</v>
      </c>
      <c r="G534" s="287"/>
      <c r="H534" s="987">
        <v>45293</v>
      </c>
      <c r="I534" s="967">
        <f>SUM(F534:F538)</f>
        <v>87080000</v>
      </c>
      <c r="J534" s="288"/>
      <c r="W534" s="54"/>
      <c r="Y534" s="253"/>
      <c r="Z534" s="51"/>
    </row>
    <row r="535" spans="2:26">
      <c r="B535" s="895"/>
      <c r="C535" s="283" t="s">
        <v>224</v>
      </c>
      <c r="D535" s="284">
        <v>300</v>
      </c>
      <c r="E535" s="285">
        <f t="shared" si="55"/>
        <v>14000</v>
      </c>
      <c r="F535" s="286">
        <f t="shared" si="54"/>
        <v>4200000</v>
      </c>
      <c r="G535" s="287"/>
      <c r="H535" s="988"/>
      <c r="I535" s="968"/>
      <c r="J535" s="288"/>
      <c r="W535" s="54"/>
      <c r="Y535" s="253"/>
      <c r="Z535" s="51"/>
    </row>
    <row r="536" spans="2:26">
      <c r="B536" s="896"/>
      <c r="C536" s="283" t="s">
        <v>219</v>
      </c>
      <c r="D536" s="284">
        <v>220</v>
      </c>
      <c r="E536" s="285">
        <f t="shared" si="55"/>
        <v>46000</v>
      </c>
      <c r="F536" s="286">
        <f t="shared" si="54"/>
        <v>10120000</v>
      </c>
      <c r="G536" s="287"/>
      <c r="H536" s="988"/>
      <c r="I536" s="968"/>
      <c r="J536" s="288"/>
      <c r="W536" s="54"/>
      <c r="Y536" s="253"/>
      <c r="Z536" s="51"/>
    </row>
    <row r="537" spans="2:26">
      <c r="B537" s="282">
        <v>45273</v>
      </c>
      <c r="C537" s="283" t="s">
        <v>219</v>
      </c>
      <c r="D537" s="284">
        <v>740</v>
      </c>
      <c r="E537" s="285">
        <f t="shared" si="55"/>
        <v>46000</v>
      </c>
      <c r="F537" s="286">
        <f t="shared" si="54"/>
        <v>34040000</v>
      </c>
      <c r="G537" s="287"/>
      <c r="H537" s="988"/>
      <c r="I537" s="968"/>
      <c r="J537" s="288"/>
      <c r="W537" s="54"/>
      <c r="Y537" s="253"/>
      <c r="Z537" s="51"/>
    </row>
    <row r="538" spans="2:26">
      <c r="B538" s="282">
        <v>45273</v>
      </c>
      <c r="C538" s="283" t="s">
        <v>219</v>
      </c>
      <c r="D538" s="284">
        <v>720</v>
      </c>
      <c r="E538" s="285">
        <f t="shared" si="55"/>
        <v>46000</v>
      </c>
      <c r="F538" s="286">
        <f t="shared" si="54"/>
        <v>33120000</v>
      </c>
      <c r="G538" s="287"/>
      <c r="H538" s="989"/>
      <c r="I538" s="969"/>
      <c r="J538" s="288"/>
      <c r="W538" s="54"/>
      <c r="Y538" s="253"/>
      <c r="Z538" s="51"/>
    </row>
    <row r="539" spans="2:26">
      <c r="B539" s="312">
        <v>45274</v>
      </c>
      <c r="C539" s="313" t="s">
        <v>219</v>
      </c>
      <c r="D539" s="314">
        <v>330</v>
      </c>
      <c r="E539" s="315">
        <f t="shared" si="55"/>
        <v>46000</v>
      </c>
      <c r="F539" s="316">
        <f t="shared" si="54"/>
        <v>15180000</v>
      </c>
      <c r="G539" s="317"/>
      <c r="H539" s="990">
        <v>45296</v>
      </c>
      <c r="I539" s="765">
        <f>SUM(F539:F547)</f>
        <v>156170000</v>
      </c>
      <c r="J539" s="318"/>
      <c r="W539" s="54"/>
      <c r="Y539" s="261"/>
      <c r="Z539" s="51"/>
    </row>
    <row r="540" spans="2:26">
      <c r="B540" s="312">
        <v>45275</v>
      </c>
      <c r="C540" s="313" t="s">
        <v>219</v>
      </c>
      <c r="D540" s="314">
        <v>340</v>
      </c>
      <c r="E540" s="315">
        <f t="shared" si="55"/>
        <v>46000</v>
      </c>
      <c r="F540" s="316">
        <f t="shared" si="54"/>
        <v>15640000</v>
      </c>
      <c r="G540" s="317"/>
      <c r="H540" s="991"/>
      <c r="I540" s="766"/>
      <c r="J540" s="318"/>
      <c r="W540" s="54"/>
      <c r="Y540" s="261"/>
      <c r="Z540" s="51"/>
    </row>
    <row r="541" spans="2:26">
      <c r="B541" s="312">
        <v>45276</v>
      </c>
      <c r="C541" s="313" t="s">
        <v>219</v>
      </c>
      <c r="D541" s="314">
        <v>320</v>
      </c>
      <c r="E541" s="315">
        <f t="shared" si="55"/>
        <v>46000</v>
      </c>
      <c r="F541" s="316">
        <f t="shared" si="54"/>
        <v>14720000</v>
      </c>
      <c r="G541" s="317"/>
      <c r="H541" s="991"/>
      <c r="I541" s="766"/>
      <c r="J541" s="318"/>
      <c r="W541" s="54"/>
      <c r="Y541" s="261"/>
      <c r="Z541" s="51"/>
    </row>
    <row r="542" spans="2:26">
      <c r="B542" s="312">
        <v>45276</v>
      </c>
      <c r="C542" s="313" t="s">
        <v>219</v>
      </c>
      <c r="D542" s="314">
        <v>340</v>
      </c>
      <c r="E542" s="315">
        <f t="shared" si="55"/>
        <v>46000</v>
      </c>
      <c r="F542" s="316">
        <f t="shared" ref="F542:F573" si="56">IF(E542="-","-",D542*E542)</f>
        <v>15640000</v>
      </c>
      <c r="G542" s="317"/>
      <c r="H542" s="991"/>
      <c r="I542" s="766"/>
      <c r="J542" s="318"/>
      <c r="W542" s="54"/>
      <c r="Y542" s="261"/>
      <c r="Z542" s="51"/>
    </row>
    <row r="543" spans="2:26">
      <c r="B543" s="312">
        <v>45276</v>
      </c>
      <c r="C543" s="313" t="s">
        <v>219</v>
      </c>
      <c r="D543" s="314">
        <v>325</v>
      </c>
      <c r="E543" s="315">
        <f t="shared" si="55"/>
        <v>46000</v>
      </c>
      <c r="F543" s="316">
        <f t="shared" si="56"/>
        <v>14950000</v>
      </c>
      <c r="G543" s="317"/>
      <c r="H543" s="991"/>
      <c r="I543" s="766"/>
      <c r="J543" s="318"/>
      <c r="W543" s="54"/>
      <c r="Y543" s="261"/>
      <c r="Z543" s="51"/>
    </row>
    <row r="544" spans="2:26">
      <c r="B544" s="312">
        <v>45280</v>
      </c>
      <c r="C544" s="313" t="s">
        <v>219</v>
      </c>
      <c r="D544" s="314">
        <v>320</v>
      </c>
      <c r="E544" s="315">
        <f t="shared" si="55"/>
        <v>46000</v>
      </c>
      <c r="F544" s="316">
        <f t="shared" si="56"/>
        <v>14720000</v>
      </c>
      <c r="G544" s="317"/>
      <c r="H544" s="991"/>
      <c r="I544" s="766"/>
      <c r="J544" s="318"/>
      <c r="W544" s="54"/>
      <c r="Y544" s="264"/>
      <c r="Z544" s="51"/>
    </row>
    <row r="545" spans="2:26">
      <c r="B545" s="312">
        <v>45280</v>
      </c>
      <c r="C545" s="313" t="s">
        <v>219</v>
      </c>
      <c r="D545" s="314">
        <v>360</v>
      </c>
      <c r="E545" s="315">
        <f t="shared" si="55"/>
        <v>46000</v>
      </c>
      <c r="F545" s="316">
        <f t="shared" si="56"/>
        <v>16560000</v>
      </c>
      <c r="G545" s="317"/>
      <c r="H545" s="991"/>
      <c r="I545" s="766"/>
      <c r="J545" s="318"/>
      <c r="W545" s="54"/>
      <c r="Y545" s="264"/>
      <c r="Z545" s="51"/>
    </row>
    <row r="546" spans="2:26">
      <c r="B546" s="312">
        <v>45280</v>
      </c>
      <c r="C546" s="313" t="s">
        <v>219</v>
      </c>
      <c r="D546" s="314">
        <v>340</v>
      </c>
      <c r="E546" s="315">
        <f t="shared" si="55"/>
        <v>46000</v>
      </c>
      <c r="F546" s="316">
        <f t="shared" si="56"/>
        <v>15640000</v>
      </c>
      <c r="G546" s="317"/>
      <c r="H546" s="991"/>
      <c r="I546" s="766"/>
      <c r="J546" s="318"/>
      <c r="W546" s="54"/>
      <c r="Y546" s="264"/>
      <c r="Z546" s="51"/>
    </row>
    <row r="547" spans="2:26">
      <c r="B547" s="312">
        <v>45280</v>
      </c>
      <c r="C547" s="313" t="s">
        <v>219</v>
      </c>
      <c r="D547" s="314">
        <v>720</v>
      </c>
      <c r="E547" s="315">
        <f t="shared" si="55"/>
        <v>46000</v>
      </c>
      <c r="F547" s="316">
        <f t="shared" si="56"/>
        <v>33120000</v>
      </c>
      <c r="G547" s="317"/>
      <c r="H547" s="992"/>
      <c r="I547" s="767"/>
      <c r="J547" s="318"/>
      <c r="W547" s="54"/>
      <c r="Y547" s="264"/>
      <c r="Z547" s="51"/>
    </row>
    <row r="548" spans="2:26">
      <c r="B548" s="307">
        <v>45281</v>
      </c>
      <c r="C548" s="232" t="s">
        <v>219</v>
      </c>
      <c r="D548" s="233">
        <v>330</v>
      </c>
      <c r="E548" s="234">
        <f t="shared" si="55"/>
        <v>46000</v>
      </c>
      <c r="F548" s="235">
        <f t="shared" si="56"/>
        <v>15180000</v>
      </c>
      <c r="G548" s="276"/>
      <c r="H548" s="883">
        <v>45299</v>
      </c>
      <c r="I548" s="650">
        <f>SUM(F548:F552)</f>
        <v>80263500</v>
      </c>
      <c r="J548" s="237"/>
      <c r="W548" s="54"/>
      <c r="Y548" s="281"/>
      <c r="Z548" s="51"/>
    </row>
    <row r="549" spans="2:26">
      <c r="B549" s="307">
        <v>45282</v>
      </c>
      <c r="C549" s="232" t="s">
        <v>219</v>
      </c>
      <c r="D549" s="233">
        <v>340</v>
      </c>
      <c r="E549" s="234">
        <f t="shared" si="55"/>
        <v>46000</v>
      </c>
      <c r="F549" s="235">
        <f t="shared" si="56"/>
        <v>15640000</v>
      </c>
      <c r="G549" s="276"/>
      <c r="H549" s="884"/>
      <c r="I549" s="651"/>
      <c r="J549" s="237"/>
      <c r="W549" s="54"/>
      <c r="Y549" s="281"/>
      <c r="Z549" s="51"/>
    </row>
    <row r="550" spans="2:26">
      <c r="B550" s="700">
        <v>45283</v>
      </c>
      <c r="C550" s="232" t="s">
        <v>226</v>
      </c>
      <c r="D550" s="233">
        <v>77</v>
      </c>
      <c r="E550" s="234">
        <f t="shared" ref="E550:E581" si="57">IFERROR(INDEX(daftar,MATCH(C550,nmdaftar,0),2),"-")</f>
        <v>95500</v>
      </c>
      <c r="F550" s="235">
        <f t="shared" si="56"/>
        <v>7353500</v>
      </c>
      <c r="G550" s="276"/>
      <c r="H550" s="884"/>
      <c r="I550" s="651"/>
      <c r="J550" s="237"/>
      <c r="W550" s="54"/>
      <c r="Y550" s="281"/>
      <c r="Z550" s="51"/>
    </row>
    <row r="551" spans="2:26">
      <c r="B551" s="701"/>
      <c r="C551" s="232" t="s">
        <v>219</v>
      </c>
      <c r="D551" s="233">
        <v>195</v>
      </c>
      <c r="E551" s="234">
        <f t="shared" si="57"/>
        <v>46000</v>
      </c>
      <c r="F551" s="235">
        <f t="shared" si="56"/>
        <v>8970000</v>
      </c>
      <c r="G551" s="276"/>
      <c r="H551" s="884"/>
      <c r="I551" s="651"/>
      <c r="J551" s="237"/>
      <c r="W551" s="54"/>
      <c r="Y551" s="281"/>
      <c r="Z551" s="51"/>
    </row>
    <row r="552" spans="2:26">
      <c r="B552" s="307">
        <v>45286</v>
      </c>
      <c r="C552" s="232" t="s">
        <v>219</v>
      </c>
      <c r="D552" s="233">
        <v>720</v>
      </c>
      <c r="E552" s="234">
        <f t="shared" si="57"/>
        <v>46000</v>
      </c>
      <c r="F552" s="235">
        <f t="shared" si="56"/>
        <v>33120000</v>
      </c>
      <c r="G552" s="276"/>
      <c r="H552" s="885"/>
      <c r="I552" s="652"/>
      <c r="J552" s="237"/>
      <c r="W552" s="54"/>
      <c r="Y552" s="281"/>
      <c r="Z552" s="51"/>
    </row>
    <row r="553" spans="2:26">
      <c r="B553" s="310">
        <v>45286</v>
      </c>
      <c r="C553" s="39" t="s">
        <v>219</v>
      </c>
      <c r="D553" s="248">
        <v>740</v>
      </c>
      <c r="E553" s="41">
        <f t="shared" si="57"/>
        <v>46000</v>
      </c>
      <c r="F553" s="47">
        <f t="shared" si="56"/>
        <v>34040000</v>
      </c>
      <c r="G553" s="43"/>
      <c r="H553" s="845">
        <v>45303</v>
      </c>
      <c r="I553" s="728">
        <f>SUM(F553:F559)</f>
        <v>84827500</v>
      </c>
      <c r="J553" s="311"/>
      <c r="W553" s="54"/>
      <c r="Y553" s="281"/>
      <c r="Z553" s="51"/>
    </row>
    <row r="554" spans="2:26">
      <c r="B554" s="702">
        <v>45287</v>
      </c>
      <c r="C554" s="39" t="s">
        <v>220</v>
      </c>
      <c r="D554" s="248">
        <v>70</v>
      </c>
      <c r="E554" s="41">
        <f t="shared" si="57"/>
        <v>27000</v>
      </c>
      <c r="F554" s="47">
        <f t="shared" si="56"/>
        <v>1890000</v>
      </c>
      <c r="G554" s="43"/>
      <c r="H554" s="846"/>
      <c r="I554" s="729"/>
      <c r="J554" s="311"/>
      <c r="W554" s="54"/>
      <c r="Y554" s="281"/>
      <c r="Z554" s="51"/>
    </row>
    <row r="555" spans="2:26">
      <c r="B555" s="704"/>
      <c r="C555" s="39" t="s">
        <v>226</v>
      </c>
      <c r="D555" s="248">
        <v>155</v>
      </c>
      <c r="E555" s="41">
        <f t="shared" si="57"/>
        <v>95500</v>
      </c>
      <c r="F555" s="47">
        <f t="shared" si="56"/>
        <v>14802500</v>
      </c>
      <c r="G555" s="43"/>
      <c r="H555" s="846"/>
      <c r="I555" s="729"/>
      <c r="J555" s="311"/>
      <c r="W555" s="54"/>
      <c r="Y555" s="281"/>
      <c r="Z555" s="51"/>
    </row>
    <row r="556" spans="2:26">
      <c r="B556" s="702">
        <v>45287</v>
      </c>
      <c r="C556" s="39" t="s">
        <v>219</v>
      </c>
      <c r="D556" s="248">
        <v>210</v>
      </c>
      <c r="E556" s="41">
        <f t="shared" si="57"/>
        <v>46000</v>
      </c>
      <c r="F556" s="47">
        <f t="shared" si="56"/>
        <v>9660000</v>
      </c>
      <c r="G556" s="43"/>
      <c r="H556" s="846"/>
      <c r="I556" s="729"/>
      <c r="J556" s="311"/>
      <c r="W556" s="54"/>
      <c r="Y556" s="281"/>
      <c r="Z556" s="51"/>
    </row>
    <row r="557" spans="2:26">
      <c r="B557" s="703"/>
      <c r="C557" s="39" t="s">
        <v>220</v>
      </c>
      <c r="D557" s="248">
        <v>75</v>
      </c>
      <c r="E557" s="41">
        <f t="shared" si="57"/>
        <v>27000</v>
      </c>
      <c r="F557" s="47">
        <f t="shared" si="56"/>
        <v>2025000</v>
      </c>
      <c r="G557" s="43"/>
      <c r="H557" s="846"/>
      <c r="I557" s="729"/>
      <c r="J557" s="311"/>
      <c r="W557" s="54"/>
      <c r="Y557" s="281"/>
      <c r="Z557" s="51"/>
    </row>
    <row r="558" spans="2:26">
      <c r="B558" s="704"/>
      <c r="C558" s="39" t="s">
        <v>224</v>
      </c>
      <c r="D558" s="323">
        <v>500</v>
      </c>
      <c r="E558" s="41">
        <f t="shared" si="57"/>
        <v>14000</v>
      </c>
      <c r="F558" s="47">
        <f t="shared" si="56"/>
        <v>7000000</v>
      </c>
      <c r="G558" s="43"/>
      <c r="H558" s="846"/>
      <c r="I558" s="729"/>
      <c r="J558" s="311"/>
      <c r="W558" s="54"/>
      <c r="Y558" s="281"/>
      <c r="Z558" s="51"/>
    </row>
    <row r="559" spans="2:26">
      <c r="B559" s="224">
        <v>45287</v>
      </c>
      <c r="C559" s="39" t="s">
        <v>219</v>
      </c>
      <c r="D559" s="323">
        <v>335</v>
      </c>
      <c r="E559" s="41">
        <f t="shared" si="57"/>
        <v>46000</v>
      </c>
      <c r="F559" s="47">
        <f t="shared" si="56"/>
        <v>15410000</v>
      </c>
      <c r="G559" s="43"/>
      <c r="H559" s="847"/>
      <c r="I559" s="730"/>
      <c r="J559" s="311"/>
      <c r="W559" s="54"/>
      <c r="Y559" s="281"/>
      <c r="Z559" s="51"/>
    </row>
    <row r="560" spans="2:26">
      <c r="B560" s="320">
        <v>45288</v>
      </c>
      <c r="C560" s="232" t="s">
        <v>219</v>
      </c>
      <c r="D560" s="327">
        <v>720</v>
      </c>
      <c r="E560" s="234">
        <f t="shared" si="57"/>
        <v>46000</v>
      </c>
      <c r="F560" s="235">
        <f t="shared" si="56"/>
        <v>33120000</v>
      </c>
      <c r="G560" s="276"/>
      <c r="H560" s="883">
        <v>45307</v>
      </c>
      <c r="I560" s="650">
        <f>SUM(F560:F562)</f>
        <v>66700000</v>
      </c>
      <c r="J560" s="237"/>
      <c r="W560" s="54"/>
      <c r="Y560" s="290"/>
      <c r="Z560" s="51"/>
    </row>
    <row r="561" spans="2:26">
      <c r="B561" s="320">
        <v>45288</v>
      </c>
      <c r="C561" s="232" t="s">
        <v>219</v>
      </c>
      <c r="D561" s="327">
        <v>330</v>
      </c>
      <c r="E561" s="234">
        <f t="shared" si="57"/>
        <v>46000</v>
      </c>
      <c r="F561" s="235">
        <f t="shared" si="56"/>
        <v>15180000</v>
      </c>
      <c r="G561" s="276"/>
      <c r="H561" s="884"/>
      <c r="I561" s="651"/>
      <c r="J561" s="237"/>
      <c r="W561" s="54"/>
      <c r="Y561" s="289"/>
      <c r="Z561" s="51"/>
    </row>
    <row r="562" spans="2:26">
      <c r="B562" s="320">
        <v>45290</v>
      </c>
      <c r="C562" s="232" t="s">
        <v>219</v>
      </c>
      <c r="D562" s="327">
        <v>400</v>
      </c>
      <c r="E562" s="234">
        <f t="shared" si="57"/>
        <v>46000</v>
      </c>
      <c r="F562" s="235">
        <f t="shared" si="56"/>
        <v>18400000</v>
      </c>
      <c r="G562" s="276"/>
      <c r="H562" s="885"/>
      <c r="I562" s="652"/>
      <c r="J562" s="237"/>
      <c r="W562" s="54"/>
      <c r="Y562" s="290"/>
      <c r="Z562" s="51"/>
    </row>
    <row r="563" spans="2:26">
      <c r="B563" s="326">
        <v>45293</v>
      </c>
      <c r="C563" s="203" t="s">
        <v>219</v>
      </c>
      <c r="D563" s="329">
        <v>720</v>
      </c>
      <c r="E563" s="205">
        <f t="shared" si="57"/>
        <v>46000</v>
      </c>
      <c r="F563" s="206">
        <f t="shared" si="56"/>
        <v>33120000</v>
      </c>
      <c r="G563" s="274"/>
      <c r="H563" s="871">
        <v>45310</v>
      </c>
      <c r="I563" s="735">
        <f>SUM(F563:F565)</f>
        <v>81420000</v>
      </c>
      <c r="J563" s="280"/>
      <c r="W563" s="54"/>
      <c r="Y563" s="290"/>
      <c r="Z563" s="51"/>
    </row>
    <row r="564" spans="2:26">
      <c r="B564" s="326">
        <v>45293</v>
      </c>
      <c r="C564" s="203" t="s">
        <v>219</v>
      </c>
      <c r="D564" s="329">
        <v>720</v>
      </c>
      <c r="E564" s="205">
        <f t="shared" si="57"/>
        <v>46000</v>
      </c>
      <c r="F564" s="206">
        <f t="shared" si="56"/>
        <v>33120000</v>
      </c>
      <c r="G564" s="274"/>
      <c r="H564" s="872"/>
      <c r="I564" s="749"/>
      <c r="J564" s="280"/>
      <c r="W564" s="54"/>
      <c r="Y564" s="290"/>
      <c r="Z564" s="51"/>
    </row>
    <row r="565" spans="2:26">
      <c r="B565" s="326">
        <v>45293</v>
      </c>
      <c r="C565" s="203" t="s">
        <v>219</v>
      </c>
      <c r="D565" s="329">
        <v>330</v>
      </c>
      <c r="E565" s="205">
        <f t="shared" si="57"/>
        <v>46000</v>
      </c>
      <c r="F565" s="206">
        <f t="shared" si="56"/>
        <v>15180000</v>
      </c>
      <c r="G565" s="274"/>
      <c r="H565" s="873"/>
      <c r="I565" s="736"/>
      <c r="J565" s="280"/>
      <c r="W565" s="54"/>
      <c r="Y565" s="290"/>
      <c r="Z565" s="51"/>
    </row>
    <row r="566" spans="2:26">
      <c r="B566" s="334">
        <v>45293</v>
      </c>
      <c r="C566" s="335" t="s">
        <v>219</v>
      </c>
      <c r="D566" s="336">
        <v>720</v>
      </c>
      <c r="E566" s="337">
        <f t="shared" si="57"/>
        <v>46000</v>
      </c>
      <c r="F566" s="338">
        <f t="shared" si="56"/>
        <v>33120000</v>
      </c>
      <c r="G566" s="339"/>
      <c r="H566" s="803">
        <v>45316</v>
      </c>
      <c r="I566" s="815">
        <f>SUM(F566:F570)</f>
        <v>82900000</v>
      </c>
      <c r="J566" s="803"/>
      <c r="W566" s="54"/>
      <c r="Y566" s="290"/>
      <c r="Z566" s="51"/>
    </row>
    <row r="567" spans="2:26">
      <c r="B567" s="334">
        <v>45294</v>
      </c>
      <c r="C567" s="335" t="s">
        <v>219</v>
      </c>
      <c r="D567" s="336">
        <v>330</v>
      </c>
      <c r="E567" s="337">
        <f t="shared" si="57"/>
        <v>46000</v>
      </c>
      <c r="F567" s="338">
        <f t="shared" si="56"/>
        <v>15180000</v>
      </c>
      <c r="G567" s="339"/>
      <c r="H567" s="804"/>
      <c r="I567" s="816"/>
      <c r="J567" s="804"/>
      <c r="W567" s="54"/>
      <c r="Y567" s="298"/>
      <c r="Z567" s="51"/>
    </row>
    <row r="568" spans="2:26">
      <c r="B568" s="897">
        <v>45294</v>
      </c>
      <c r="C568" s="335" t="s">
        <v>222</v>
      </c>
      <c r="D568" s="336">
        <v>500</v>
      </c>
      <c r="E568" s="337">
        <f t="shared" si="57"/>
        <v>14000</v>
      </c>
      <c r="F568" s="338">
        <f t="shared" si="56"/>
        <v>7000000</v>
      </c>
      <c r="G568" s="339"/>
      <c r="H568" s="804"/>
      <c r="I568" s="816"/>
      <c r="J568" s="804"/>
      <c r="W568" s="54"/>
      <c r="Y568" s="298"/>
      <c r="Z568" s="51"/>
    </row>
    <row r="569" spans="2:26">
      <c r="B569" s="898"/>
      <c r="C569" s="335" t="s">
        <v>219</v>
      </c>
      <c r="D569" s="336">
        <v>245</v>
      </c>
      <c r="E569" s="337">
        <f t="shared" si="57"/>
        <v>46000</v>
      </c>
      <c r="F569" s="338">
        <f t="shared" si="56"/>
        <v>11270000</v>
      </c>
      <c r="G569" s="339"/>
      <c r="H569" s="804"/>
      <c r="I569" s="816"/>
      <c r="J569" s="804"/>
      <c r="W569" s="54"/>
      <c r="Y569" s="298"/>
      <c r="Z569" s="51"/>
    </row>
    <row r="570" spans="2:26">
      <c r="B570" s="334">
        <v>45294</v>
      </c>
      <c r="C570" s="335" t="s">
        <v>219</v>
      </c>
      <c r="D570" s="336">
        <v>355</v>
      </c>
      <c r="E570" s="337">
        <f t="shared" si="57"/>
        <v>46000</v>
      </c>
      <c r="F570" s="338">
        <f t="shared" si="56"/>
        <v>16330000</v>
      </c>
      <c r="G570" s="339"/>
      <c r="H570" s="805"/>
      <c r="I570" s="817"/>
      <c r="J570" s="805"/>
      <c r="W570" s="54"/>
      <c r="Y570" s="306"/>
      <c r="Z570" s="51"/>
    </row>
    <row r="571" spans="2:26">
      <c r="B571" s="332">
        <v>45299</v>
      </c>
      <c r="C571" s="39" t="s">
        <v>219</v>
      </c>
      <c r="D571" s="323">
        <v>720</v>
      </c>
      <c r="E571" s="41">
        <f t="shared" si="57"/>
        <v>46000</v>
      </c>
      <c r="F571" s="47">
        <f t="shared" si="56"/>
        <v>33120000</v>
      </c>
      <c r="G571" s="43"/>
      <c r="H571" s="845">
        <v>45324</v>
      </c>
      <c r="I571" s="728">
        <f>SUM(F571:F576)</f>
        <v>119030000</v>
      </c>
      <c r="J571" s="333"/>
      <c r="W571" s="54"/>
      <c r="Y571" s="185"/>
      <c r="Z571" s="51"/>
    </row>
    <row r="572" spans="2:26">
      <c r="B572" s="702">
        <v>45300</v>
      </c>
      <c r="C572" s="39" t="s">
        <v>222</v>
      </c>
      <c r="D572" s="323">
        <v>200</v>
      </c>
      <c r="E572" s="41">
        <f t="shared" si="57"/>
        <v>14000</v>
      </c>
      <c r="F572" s="47">
        <f t="shared" si="56"/>
        <v>2800000</v>
      </c>
      <c r="G572" s="43"/>
      <c r="H572" s="846"/>
      <c r="I572" s="729"/>
      <c r="J572" s="333"/>
      <c r="W572" s="54"/>
      <c r="Y572" s="308"/>
      <c r="Z572" s="51"/>
    </row>
    <row r="573" spans="2:26">
      <c r="B573" s="704"/>
      <c r="C573" s="39" t="s">
        <v>219</v>
      </c>
      <c r="D573" s="323">
        <v>310</v>
      </c>
      <c r="E573" s="41">
        <f t="shared" si="57"/>
        <v>46000</v>
      </c>
      <c r="F573" s="47">
        <f t="shared" si="56"/>
        <v>14260000</v>
      </c>
      <c r="G573" s="43"/>
      <c r="H573" s="846"/>
      <c r="I573" s="729"/>
      <c r="J573" s="333"/>
      <c r="W573" s="54"/>
      <c r="Y573" s="308"/>
      <c r="Z573" s="51"/>
    </row>
    <row r="574" spans="2:26">
      <c r="B574" s="702">
        <v>45301</v>
      </c>
      <c r="C574" s="39" t="s">
        <v>222</v>
      </c>
      <c r="D574" s="323">
        <v>400</v>
      </c>
      <c r="E574" s="41">
        <f t="shared" si="57"/>
        <v>14000</v>
      </c>
      <c r="F574" s="47">
        <f t="shared" ref="F574:F605" si="58">IF(E574="-","-",D574*E574)</f>
        <v>5600000</v>
      </c>
      <c r="G574" s="43"/>
      <c r="H574" s="846"/>
      <c r="I574" s="729"/>
      <c r="J574" s="333"/>
      <c r="W574" s="54"/>
      <c r="Y574" s="308"/>
      <c r="Z574" s="51"/>
    </row>
    <row r="575" spans="2:26">
      <c r="B575" s="704"/>
      <c r="C575" s="39" t="s">
        <v>219</v>
      </c>
      <c r="D575" s="323">
        <v>655</v>
      </c>
      <c r="E575" s="41">
        <f t="shared" si="57"/>
        <v>46000</v>
      </c>
      <c r="F575" s="47">
        <f t="shared" si="58"/>
        <v>30130000</v>
      </c>
      <c r="G575" s="43"/>
      <c r="H575" s="846"/>
      <c r="I575" s="729"/>
      <c r="J575" s="333"/>
      <c r="W575" s="54"/>
      <c r="Y575" s="308"/>
      <c r="Z575" s="51"/>
    </row>
    <row r="576" spans="2:26">
      <c r="B576" s="332">
        <v>45301</v>
      </c>
      <c r="C576" s="39" t="s">
        <v>219</v>
      </c>
      <c r="D576" s="323">
        <v>720</v>
      </c>
      <c r="E576" s="41">
        <f t="shared" si="57"/>
        <v>46000</v>
      </c>
      <c r="F576" s="47">
        <f t="shared" si="58"/>
        <v>33120000</v>
      </c>
      <c r="G576" s="43"/>
      <c r="H576" s="847"/>
      <c r="I576" s="730"/>
      <c r="J576" s="333"/>
      <c r="W576" s="54"/>
      <c r="Y576" s="308"/>
      <c r="Z576" s="51"/>
    </row>
    <row r="577" spans="2:26">
      <c r="B577" s="341">
        <v>45302</v>
      </c>
      <c r="C577" s="335" t="s">
        <v>219</v>
      </c>
      <c r="D577" s="336">
        <v>370</v>
      </c>
      <c r="E577" s="337">
        <f t="shared" si="57"/>
        <v>46000</v>
      </c>
      <c r="F577" s="338">
        <f t="shared" si="58"/>
        <v>17020000</v>
      </c>
      <c r="G577" s="339"/>
      <c r="H577" s="803">
        <v>45326</v>
      </c>
      <c r="I577" s="815">
        <f>SUM(F577:F579)</f>
        <v>64860000</v>
      </c>
      <c r="J577" s="344"/>
      <c r="W577" s="54"/>
      <c r="Y577" s="308"/>
      <c r="Z577" s="51"/>
    </row>
    <row r="578" spans="2:26">
      <c r="B578" s="341">
        <v>45304</v>
      </c>
      <c r="C578" s="335" t="s">
        <v>219</v>
      </c>
      <c r="D578" s="336">
        <v>320</v>
      </c>
      <c r="E578" s="337">
        <f t="shared" si="57"/>
        <v>46000</v>
      </c>
      <c r="F578" s="338">
        <f t="shared" si="58"/>
        <v>14720000</v>
      </c>
      <c r="G578" s="339"/>
      <c r="H578" s="804"/>
      <c r="I578" s="816"/>
      <c r="J578" s="344"/>
      <c r="W578" s="54"/>
      <c r="Y578" s="308"/>
      <c r="Z578" s="51"/>
    </row>
    <row r="579" spans="2:26">
      <c r="B579" s="341">
        <v>45304</v>
      </c>
      <c r="C579" s="335" t="s">
        <v>219</v>
      </c>
      <c r="D579" s="336">
        <v>720</v>
      </c>
      <c r="E579" s="337">
        <f t="shared" si="57"/>
        <v>46000</v>
      </c>
      <c r="F579" s="338">
        <f t="shared" si="58"/>
        <v>33120000</v>
      </c>
      <c r="G579" s="339"/>
      <c r="H579" s="805"/>
      <c r="I579" s="817"/>
      <c r="J579" s="344"/>
      <c r="W579" s="54"/>
      <c r="Y579" s="308"/>
      <c r="Z579" s="51"/>
    </row>
    <row r="580" spans="2:26">
      <c r="B580" s="342">
        <v>45306</v>
      </c>
      <c r="C580" s="232" t="s">
        <v>219</v>
      </c>
      <c r="D580" s="327">
        <v>740</v>
      </c>
      <c r="E580" s="234">
        <f t="shared" si="57"/>
        <v>46000</v>
      </c>
      <c r="F580" s="235">
        <f t="shared" si="58"/>
        <v>34040000</v>
      </c>
      <c r="G580" s="276"/>
      <c r="H580" s="883">
        <v>45328</v>
      </c>
      <c r="I580" s="650">
        <f>SUM(F580:F584)</f>
        <v>67510000</v>
      </c>
      <c r="J580" s="237"/>
      <c r="W580" s="54"/>
      <c r="Y580" s="308"/>
      <c r="Z580" s="51"/>
    </row>
    <row r="581" spans="2:26">
      <c r="B581" s="342">
        <v>45306</v>
      </c>
      <c r="C581" s="232" t="s">
        <v>219</v>
      </c>
      <c r="D581" s="327">
        <v>320</v>
      </c>
      <c r="E581" s="234">
        <f t="shared" si="57"/>
        <v>46000</v>
      </c>
      <c r="F581" s="235">
        <f t="shared" si="58"/>
        <v>14720000</v>
      </c>
      <c r="G581" s="276"/>
      <c r="H581" s="884"/>
      <c r="I581" s="651"/>
      <c r="J581" s="237"/>
      <c r="W581" s="54"/>
      <c r="Y581" s="308"/>
      <c r="Z581" s="51"/>
    </row>
    <row r="582" spans="2:26">
      <c r="B582" s="700">
        <v>45308</v>
      </c>
      <c r="C582" s="232" t="s">
        <v>222</v>
      </c>
      <c r="D582" s="327">
        <v>200</v>
      </c>
      <c r="E582" s="234">
        <f t="shared" ref="E582:E607" si="59">IFERROR(INDEX(daftar,MATCH(C582,nmdaftar,0),2),"-")</f>
        <v>14000</v>
      </c>
      <c r="F582" s="235">
        <f t="shared" si="58"/>
        <v>2800000</v>
      </c>
      <c r="G582" s="276"/>
      <c r="H582" s="884"/>
      <c r="I582" s="651"/>
      <c r="J582" s="237"/>
      <c r="W582" s="54"/>
      <c r="Y582" s="319"/>
      <c r="Z582" s="51"/>
    </row>
    <row r="583" spans="2:26">
      <c r="B583" s="848"/>
      <c r="C583" s="232" t="s">
        <v>224</v>
      </c>
      <c r="D583" s="327">
        <v>400</v>
      </c>
      <c r="E583" s="234">
        <f t="shared" si="59"/>
        <v>14000</v>
      </c>
      <c r="F583" s="235">
        <f t="shared" si="58"/>
        <v>5600000</v>
      </c>
      <c r="G583" s="276"/>
      <c r="H583" s="884"/>
      <c r="I583" s="651"/>
      <c r="J583" s="237"/>
      <c r="W583" s="54"/>
      <c r="Y583" s="319"/>
      <c r="Z583" s="51"/>
    </row>
    <row r="584" spans="2:26">
      <c r="B584" s="701"/>
      <c r="C584" s="232" t="s">
        <v>219</v>
      </c>
      <c r="D584" s="327">
        <v>225</v>
      </c>
      <c r="E584" s="234">
        <f t="shared" si="59"/>
        <v>46000</v>
      </c>
      <c r="F584" s="235">
        <f t="shared" si="58"/>
        <v>10350000</v>
      </c>
      <c r="G584" s="276"/>
      <c r="H584" s="885"/>
      <c r="I584" s="652"/>
      <c r="J584" s="237"/>
      <c r="W584" s="54"/>
      <c r="Y584" s="319"/>
      <c r="Z584" s="51"/>
    </row>
    <row r="585" spans="2:26">
      <c r="B585" s="351">
        <v>45309</v>
      </c>
      <c r="C585" s="352" t="s">
        <v>219</v>
      </c>
      <c r="D585" s="353">
        <v>720</v>
      </c>
      <c r="E585" s="354">
        <f t="shared" si="59"/>
        <v>46000</v>
      </c>
      <c r="F585" s="355">
        <f t="shared" si="58"/>
        <v>33120000</v>
      </c>
      <c r="G585" s="356"/>
      <c r="H585" s="981">
        <v>45331</v>
      </c>
      <c r="I585" s="865">
        <f>SUM(F585:F586)</f>
        <v>49355000</v>
      </c>
      <c r="J585" s="357"/>
      <c r="W585" s="54"/>
      <c r="Y585" s="319"/>
      <c r="Z585" s="51"/>
    </row>
    <row r="586" spans="2:26">
      <c r="B586" s="351">
        <v>45310</v>
      </c>
      <c r="C586" s="352" t="s">
        <v>226</v>
      </c>
      <c r="D586" s="353">
        <v>170</v>
      </c>
      <c r="E586" s="354">
        <f t="shared" si="59"/>
        <v>95500</v>
      </c>
      <c r="F586" s="354">
        <f t="shared" si="58"/>
        <v>16235000</v>
      </c>
      <c r="G586" s="356"/>
      <c r="H586" s="982"/>
      <c r="I586" s="867"/>
      <c r="J586" s="357"/>
      <c r="W586" s="54"/>
      <c r="Y586" s="325"/>
      <c r="Z586" s="51"/>
    </row>
    <row r="587" spans="2:26">
      <c r="B587" s="345">
        <v>45314</v>
      </c>
      <c r="C587" s="346" t="s">
        <v>219</v>
      </c>
      <c r="D587" s="347">
        <v>720</v>
      </c>
      <c r="E587" s="348">
        <f t="shared" si="59"/>
        <v>46000</v>
      </c>
      <c r="F587" s="348">
        <f t="shared" si="58"/>
        <v>33120000</v>
      </c>
      <c r="G587" s="349"/>
      <c r="H587" s="868">
        <v>45335</v>
      </c>
      <c r="I587" s="983">
        <f>SUM(F587:F590)+F592</f>
        <v>141140000</v>
      </c>
      <c r="J587" s="358"/>
      <c r="W587" s="54"/>
      <c r="Y587" s="328"/>
      <c r="Z587" s="51"/>
    </row>
    <row r="588" spans="2:26">
      <c r="B588" s="345">
        <v>45314</v>
      </c>
      <c r="C588" s="346" t="s">
        <v>219</v>
      </c>
      <c r="D588" s="347">
        <v>720</v>
      </c>
      <c r="E588" s="348">
        <f t="shared" si="59"/>
        <v>46000</v>
      </c>
      <c r="F588" s="348">
        <f t="shared" si="58"/>
        <v>33120000</v>
      </c>
      <c r="G588" s="349"/>
      <c r="H588" s="869"/>
      <c r="I588" s="984"/>
      <c r="J588" s="358"/>
      <c r="W588" s="54"/>
      <c r="Y588" s="328"/>
      <c r="Z588" s="51"/>
    </row>
    <row r="589" spans="2:26">
      <c r="B589" s="345">
        <v>45314</v>
      </c>
      <c r="C589" s="346" t="s">
        <v>219</v>
      </c>
      <c r="D589" s="347">
        <v>375</v>
      </c>
      <c r="E589" s="348">
        <f t="shared" si="59"/>
        <v>46000</v>
      </c>
      <c r="F589" s="348">
        <f t="shared" si="58"/>
        <v>17250000</v>
      </c>
      <c r="G589" s="349"/>
      <c r="H589" s="869"/>
      <c r="I589" s="984"/>
      <c r="J589" s="358"/>
      <c r="W589" s="54"/>
      <c r="Y589" s="328"/>
      <c r="Z589" s="51"/>
    </row>
    <row r="590" spans="2:26">
      <c r="B590" s="345">
        <v>45316</v>
      </c>
      <c r="C590" s="346" t="s">
        <v>219</v>
      </c>
      <c r="D590" s="347">
        <v>725</v>
      </c>
      <c r="E590" s="348">
        <f t="shared" si="59"/>
        <v>46000</v>
      </c>
      <c r="F590" s="348">
        <f t="shared" si="58"/>
        <v>33350000</v>
      </c>
      <c r="G590" s="349"/>
      <c r="H590" s="870"/>
      <c r="I590" s="985"/>
      <c r="J590" s="358"/>
      <c r="W590" s="54"/>
      <c r="Y590" s="328"/>
      <c r="Z590" s="51"/>
    </row>
    <row r="591" spans="2:26">
      <c r="B591" s="362">
        <v>45316</v>
      </c>
      <c r="C591" s="39" t="s">
        <v>219</v>
      </c>
      <c r="D591" s="323">
        <v>725</v>
      </c>
      <c r="E591" s="41">
        <f t="shared" si="59"/>
        <v>46000</v>
      </c>
      <c r="F591" s="41">
        <f t="shared" si="58"/>
        <v>33350000</v>
      </c>
      <c r="G591" s="43"/>
      <c r="H591" s="365">
        <v>45338</v>
      </c>
      <c r="I591" s="366">
        <f>F591+F593</f>
        <v>51495000</v>
      </c>
      <c r="J591" s="363"/>
      <c r="W591" s="54"/>
      <c r="Y591" s="328"/>
      <c r="Z591" s="51"/>
    </row>
    <row r="592" spans="2:26">
      <c r="B592" s="345">
        <v>45316</v>
      </c>
      <c r="C592" s="346" t="s">
        <v>220</v>
      </c>
      <c r="D592" s="347">
        <v>900</v>
      </c>
      <c r="E592" s="359">
        <f t="shared" si="59"/>
        <v>27000</v>
      </c>
      <c r="F592" s="359">
        <f t="shared" si="58"/>
        <v>24300000</v>
      </c>
      <c r="G592" s="349"/>
      <c r="H592" s="350"/>
      <c r="I592" s="360"/>
      <c r="J592" s="358"/>
      <c r="W592" s="54"/>
      <c r="Y592" s="328"/>
      <c r="Z592" s="51"/>
    </row>
    <row r="593" spans="2:26">
      <c r="B593" s="362">
        <v>45319</v>
      </c>
      <c r="C593" s="39" t="s">
        <v>226</v>
      </c>
      <c r="D593" s="323">
        <v>190</v>
      </c>
      <c r="E593" s="367">
        <f t="shared" si="59"/>
        <v>95500</v>
      </c>
      <c r="F593" s="367">
        <f t="shared" si="58"/>
        <v>18145000</v>
      </c>
      <c r="G593" s="43"/>
      <c r="H593" s="365"/>
      <c r="I593" s="366"/>
      <c r="J593" s="363"/>
      <c r="W593" s="54"/>
      <c r="Y593" s="330"/>
      <c r="Z593" s="51"/>
    </row>
    <row r="594" spans="2:26">
      <c r="B594" s="368">
        <v>45321</v>
      </c>
      <c r="C594" s="369" t="s">
        <v>219</v>
      </c>
      <c r="D594" s="370">
        <v>315</v>
      </c>
      <c r="E594" s="371">
        <f t="shared" si="59"/>
        <v>46000</v>
      </c>
      <c r="F594" s="371">
        <f t="shared" si="58"/>
        <v>14490000</v>
      </c>
      <c r="G594" s="372"/>
      <c r="H594" s="373">
        <v>45338</v>
      </c>
      <c r="I594" s="374">
        <f>F594</f>
        <v>14490000</v>
      </c>
      <c r="J594" s="375"/>
      <c r="W594" s="54"/>
      <c r="Y594" s="330"/>
      <c r="Z594" s="51"/>
    </row>
    <row r="595" spans="2:26">
      <c r="B595" s="378">
        <v>45323</v>
      </c>
      <c r="C595" s="203" t="s">
        <v>219</v>
      </c>
      <c r="D595" s="329">
        <v>330</v>
      </c>
      <c r="E595" s="205">
        <f t="shared" si="59"/>
        <v>46000</v>
      </c>
      <c r="F595" s="205">
        <f t="shared" si="58"/>
        <v>15180000</v>
      </c>
      <c r="G595" s="274"/>
      <c r="H595" s="871">
        <v>45340</v>
      </c>
      <c r="I595" s="735">
        <f>SUM(F595:F599)</f>
        <v>79870000</v>
      </c>
      <c r="J595" s="280"/>
      <c r="W595" s="54"/>
      <c r="Y595" s="330"/>
      <c r="Z595" s="51"/>
    </row>
    <row r="596" spans="2:26">
      <c r="B596" s="378">
        <v>45323</v>
      </c>
      <c r="C596" s="203" t="s">
        <v>219</v>
      </c>
      <c r="D596" s="329">
        <v>720</v>
      </c>
      <c r="E596" s="205">
        <f t="shared" si="59"/>
        <v>46000</v>
      </c>
      <c r="F596" s="205">
        <f t="shared" si="58"/>
        <v>33120000</v>
      </c>
      <c r="G596" s="274"/>
      <c r="H596" s="872"/>
      <c r="I596" s="749"/>
      <c r="J596" s="280"/>
      <c r="W596" s="54"/>
      <c r="Y596" s="330"/>
      <c r="Z596" s="51"/>
    </row>
    <row r="597" spans="2:26">
      <c r="B597" s="712">
        <v>45323</v>
      </c>
      <c r="C597" s="203" t="s">
        <v>222</v>
      </c>
      <c r="D597" s="329">
        <v>300</v>
      </c>
      <c r="E597" s="205">
        <f t="shared" si="59"/>
        <v>14000</v>
      </c>
      <c r="F597" s="206">
        <f t="shared" si="58"/>
        <v>4200000</v>
      </c>
      <c r="G597" s="274"/>
      <c r="H597" s="872"/>
      <c r="I597" s="749"/>
      <c r="J597" s="280"/>
      <c r="W597" s="54"/>
      <c r="Y597" s="330"/>
      <c r="Z597" s="51"/>
    </row>
    <row r="598" spans="2:26">
      <c r="B598" s="713"/>
      <c r="C598" s="203" t="s">
        <v>219</v>
      </c>
      <c r="D598" s="329">
        <v>270</v>
      </c>
      <c r="E598" s="205">
        <f t="shared" si="59"/>
        <v>46000</v>
      </c>
      <c r="F598" s="205">
        <f t="shared" si="58"/>
        <v>12420000</v>
      </c>
      <c r="G598" s="274"/>
      <c r="H598" s="872"/>
      <c r="I598" s="749"/>
      <c r="J598" s="280"/>
      <c r="W598" s="54"/>
      <c r="Y598" s="330"/>
      <c r="Z598" s="51"/>
    </row>
    <row r="599" spans="2:26">
      <c r="B599" s="378">
        <v>45323</v>
      </c>
      <c r="C599" s="203" t="s">
        <v>219</v>
      </c>
      <c r="D599" s="329">
        <v>325</v>
      </c>
      <c r="E599" s="205">
        <f t="shared" si="59"/>
        <v>46000</v>
      </c>
      <c r="F599" s="205">
        <f t="shared" si="58"/>
        <v>14950000</v>
      </c>
      <c r="G599" s="274"/>
      <c r="H599" s="873"/>
      <c r="I599" s="736"/>
      <c r="J599" s="280"/>
      <c r="W599" s="54"/>
      <c r="Y599" s="330"/>
      <c r="Z599" s="51"/>
    </row>
    <row r="600" spans="2:26">
      <c r="B600" s="380">
        <v>45324</v>
      </c>
      <c r="C600" s="381" t="s">
        <v>219</v>
      </c>
      <c r="D600" s="382">
        <v>360</v>
      </c>
      <c r="E600" s="383">
        <f t="shared" si="59"/>
        <v>46000</v>
      </c>
      <c r="F600" s="383">
        <f t="shared" si="58"/>
        <v>16560000</v>
      </c>
      <c r="G600" s="384"/>
      <c r="H600" s="862">
        <v>45344</v>
      </c>
      <c r="I600" s="688">
        <f>SUM(F600:F609)</f>
        <v>107375000</v>
      </c>
      <c r="J600" s="386"/>
      <c r="W600" s="54"/>
      <c r="Y600" s="330"/>
      <c r="Z600" s="51"/>
    </row>
    <row r="601" spans="2:26">
      <c r="B601" s="380">
        <v>45324</v>
      </c>
      <c r="C601" s="381" t="s">
        <v>219</v>
      </c>
      <c r="D601" s="382">
        <v>330</v>
      </c>
      <c r="E601" s="383">
        <f t="shared" si="59"/>
        <v>46000</v>
      </c>
      <c r="F601" s="383">
        <f t="shared" si="58"/>
        <v>15180000</v>
      </c>
      <c r="G601" s="384"/>
      <c r="H601" s="863"/>
      <c r="I601" s="689"/>
      <c r="J601" s="386"/>
      <c r="W601" s="54"/>
      <c r="Y601" s="330"/>
      <c r="Z601" s="51"/>
    </row>
    <row r="602" spans="2:26">
      <c r="B602" s="380">
        <v>45324</v>
      </c>
      <c r="C602" s="381" t="s">
        <v>219</v>
      </c>
      <c r="D602" s="382">
        <v>330</v>
      </c>
      <c r="E602" s="383">
        <f t="shared" si="59"/>
        <v>46000</v>
      </c>
      <c r="F602" s="383">
        <f t="shared" si="58"/>
        <v>15180000</v>
      </c>
      <c r="G602" s="384"/>
      <c r="H602" s="863"/>
      <c r="I602" s="689"/>
      <c r="J602" s="386"/>
      <c r="W602" s="54"/>
      <c r="Y602" s="331"/>
      <c r="Z602" s="51"/>
    </row>
    <row r="603" spans="2:26">
      <c r="B603" s="694">
        <v>45325</v>
      </c>
      <c r="C603" s="381" t="s">
        <v>222</v>
      </c>
      <c r="D603" s="382">
        <v>400</v>
      </c>
      <c r="E603" s="383">
        <f t="shared" si="59"/>
        <v>14000</v>
      </c>
      <c r="F603" s="385">
        <f t="shared" si="58"/>
        <v>5600000</v>
      </c>
      <c r="G603" s="384"/>
      <c r="H603" s="863"/>
      <c r="I603" s="689"/>
      <c r="J603" s="386"/>
      <c r="W603" s="54"/>
      <c r="Y603" s="331"/>
      <c r="Z603" s="51"/>
    </row>
    <row r="604" spans="2:26">
      <c r="B604" s="858"/>
      <c r="C604" s="381" t="s">
        <v>224</v>
      </c>
      <c r="D604" s="382">
        <v>400</v>
      </c>
      <c r="E604" s="383">
        <f t="shared" si="59"/>
        <v>14000</v>
      </c>
      <c r="F604" s="385">
        <f t="shared" si="58"/>
        <v>5600000</v>
      </c>
      <c r="G604" s="384"/>
      <c r="H604" s="863"/>
      <c r="I604" s="689"/>
      <c r="J604" s="386"/>
      <c r="W604" s="54"/>
      <c r="Y604" s="331"/>
      <c r="Z604" s="51"/>
    </row>
    <row r="605" spans="2:26">
      <c r="B605" s="695"/>
      <c r="C605" s="381" t="s">
        <v>219</v>
      </c>
      <c r="D605" s="382">
        <v>185</v>
      </c>
      <c r="E605" s="383">
        <f t="shared" si="59"/>
        <v>46000</v>
      </c>
      <c r="F605" s="383">
        <f t="shared" si="58"/>
        <v>8510000</v>
      </c>
      <c r="G605" s="384"/>
      <c r="H605" s="863"/>
      <c r="I605" s="689"/>
      <c r="J605" s="386"/>
      <c r="W605" s="54"/>
      <c r="Y605" s="331"/>
      <c r="Z605" s="51"/>
    </row>
    <row r="606" spans="2:26">
      <c r="B606" s="694">
        <v>45325</v>
      </c>
      <c r="C606" s="381" t="s">
        <v>222</v>
      </c>
      <c r="D606" s="382">
        <v>300</v>
      </c>
      <c r="E606" s="383">
        <f t="shared" si="59"/>
        <v>14000</v>
      </c>
      <c r="F606" s="385">
        <f t="shared" ref="F606:F624" si="60">IF(E606="-","-",D606*E606)</f>
        <v>4200000</v>
      </c>
      <c r="G606" s="384"/>
      <c r="H606" s="863"/>
      <c r="I606" s="689"/>
      <c r="J606" s="842" t="s">
        <v>337</v>
      </c>
      <c r="W606" s="54"/>
      <c r="Y606" s="331"/>
      <c r="Z606" s="51"/>
    </row>
    <row r="607" spans="2:26">
      <c r="B607" s="858"/>
      <c r="C607" s="381" t="s">
        <v>224</v>
      </c>
      <c r="D607" s="382">
        <v>100</v>
      </c>
      <c r="E607" s="383">
        <f t="shared" si="59"/>
        <v>14000</v>
      </c>
      <c r="F607" s="385">
        <f t="shared" si="60"/>
        <v>1400000</v>
      </c>
      <c r="G607" s="384"/>
      <c r="H607" s="863"/>
      <c r="I607" s="689"/>
      <c r="J607" s="843"/>
      <c r="W607" s="54"/>
      <c r="Y607" s="331"/>
      <c r="Z607" s="51"/>
    </row>
    <row r="608" spans="2:26">
      <c r="B608" s="695"/>
      <c r="C608" s="381" t="s">
        <v>219</v>
      </c>
      <c r="D608" s="382">
        <v>45</v>
      </c>
      <c r="E608" s="383">
        <v>45000</v>
      </c>
      <c r="F608" s="383">
        <f t="shared" si="60"/>
        <v>2025000</v>
      </c>
      <c r="G608" s="384"/>
      <c r="H608" s="863"/>
      <c r="I608" s="689"/>
      <c r="J608" s="844"/>
      <c r="W608" s="54"/>
      <c r="Y608" s="331"/>
      <c r="Z608" s="51"/>
    </row>
    <row r="609" spans="2:26">
      <c r="B609" s="380">
        <v>45327</v>
      </c>
      <c r="C609" s="381" t="s">
        <v>219</v>
      </c>
      <c r="D609" s="382">
        <v>720</v>
      </c>
      <c r="E609" s="383">
        <f>IFERROR(INDEX(daftar,MATCH(C609,nmdaftar,0),2),"-")</f>
        <v>46000</v>
      </c>
      <c r="F609" s="383">
        <f t="shared" si="60"/>
        <v>33120000</v>
      </c>
      <c r="G609" s="384"/>
      <c r="H609" s="864"/>
      <c r="I609" s="690"/>
      <c r="J609" s="387"/>
      <c r="W609" s="54"/>
      <c r="Y609" s="340"/>
      <c r="Z609" s="51"/>
    </row>
    <row r="610" spans="2:26">
      <c r="B610" s="388">
        <v>45328</v>
      </c>
      <c r="C610" s="335" t="s">
        <v>219</v>
      </c>
      <c r="D610" s="336">
        <v>740</v>
      </c>
      <c r="E610" s="337">
        <f>IFERROR(INDEX(daftar,MATCH(C610,nmdaftar,0),2),"-")</f>
        <v>46000</v>
      </c>
      <c r="F610" s="337">
        <f t="shared" si="60"/>
        <v>34040000</v>
      </c>
      <c r="G610" s="339"/>
      <c r="H610" s="803"/>
      <c r="I610" s="815">
        <f>SUM(F610:F613)</f>
        <v>115000000</v>
      </c>
      <c r="J610" s="391"/>
      <c r="W610" s="54"/>
      <c r="Y610" s="340"/>
      <c r="Z610" s="51"/>
    </row>
    <row r="611" spans="2:26">
      <c r="B611" s="388">
        <v>45328</v>
      </c>
      <c r="C611" s="335" t="s">
        <v>219</v>
      </c>
      <c r="D611" s="336">
        <v>720</v>
      </c>
      <c r="E611" s="337">
        <f>IFERROR(INDEX(daftar,MATCH(C611,nmdaftar,0),2),"-")</f>
        <v>46000</v>
      </c>
      <c r="F611" s="337">
        <f t="shared" si="60"/>
        <v>33120000</v>
      </c>
      <c r="G611" s="339"/>
      <c r="H611" s="804"/>
      <c r="I611" s="816"/>
      <c r="J611" s="391"/>
      <c r="W611" s="54"/>
      <c r="Y611" s="340"/>
      <c r="Z611" s="51"/>
    </row>
    <row r="612" spans="2:26">
      <c r="B612" s="388">
        <v>45331</v>
      </c>
      <c r="C612" s="335" t="s">
        <v>219</v>
      </c>
      <c r="D612" s="336">
        <v>320</v>
      </c>
      <c r="E612" s="337">
        <f t="shared" ref="E612:E617" si="61">IFERROR(INDEX(daftar,MATCH(C612,nmdaftar,0),2),"-")</f>
        <v>46000</v>
      </c>
      <c r="F612" s="337">
        <f t="shared" si="60"/>
        <v>14720000</v>
      </c>
      <c r="G612" s="339"/>
      <c r="H612" s="804"/>
      <c r="I612" s="816"/>
      <c r="J612" s="391"/>
      <c r="W612" s="54"/>
      <c r="Y612" s="343"/>
      <c r="Z612" s="51"/>
    </row>
    <row r="613" spans="2:26">
      <c r="B613" s="388">
        <v>45331</v>
      </c>
      <c r="C613" s="335" t="s">
        <v>219</v>
      </c>
      <c r="D613" s="336">
        <v>720</v>
      </c>
      <c r="E613" s="337">
        <f t="shared" si="61"/>
        <v>46000</v>
      </c>
      <c r="F613" s="337">
        <f t="shared" si="60"/>
        <v>33120000</v>
      </c>
      <c r="G613" s="339"/>
      <c r="H613" s="805"/>
      <c r="I613" s="817"/>
      <c r="J613" s="391"/>
      <c r="W613" s="54"/>
      <c r="Y613" s="343"/>
      <c r="Z613" s="51"/>
    </row>
    <row r="614" spans="2:26">
      <c r="B614" s="390">
        <v>45334</v>
      </c>
      <c r="C614" s="381" t="s">
        <v>219</v>
      </c>
      <c r="D614" s="382">
        <v>325</v>
      </c>
      <c r="E614" s="383">
        <f t="shared" si="61"/>
        <v>46000</v>
      </c>
      <c r="F614" s="383">
        <f t="shared" si="60"/>
        <v>14950000</v>
      </c>
      <c r="G614" s="384"/>
      <c r="H614" s="862">
        <v>45350</v>
      </c>
      <c r="I614" s="859">
        <f>SUM(F614:F621)</f>
        <v>154800000</v>
      </c>
      <c r="J614" s="395"/>
      <c r="W614" s="54"/>
      <c r="Y614" s="343"/>
      <c r="Z614" s="51"/>
    </row>
    <row r="615" spans="2:26">
      <c r="B615" s="390">
        <v>45334</v>
      </c>
      <c r="C615" s="381" t="s">
        <v>219</v>
      </c>
      <c r="D615" s="382">
        <v>360</v>
      </c>
      <c r="E615" s="383">
        <f t="shared" si="61"/>
        <v>46000</v>
      </c>
      <c r="F615" s="383">
        <f t="shared" si="60"/>
        <v>16560000</v>
      </c>
      <c r="G615" s="384"/>
      <c r="H615" s="863"/>
      <c r="I615" s="860"/>
      <c r="J615" s="395"/>
      <c r="W615" s="54"/>
      <c r="Y615" s="343"/>
      <c r="Z615" s="51"/>
    </row>
    <row r="616" spans="2:26">
      <c r="B616" s="390">
        <v>45335</v>
      </c>
      <c r="C616" s="381" t="s">
        <v>219</v>
      </c>
      <c r="D616" s="382">
        <v>400</v>
      </c>
      <c r="E616" s="383">
        <f t="shared" si="61"/>
        <v>46000</v>
      </c>
      <c r="F616" s="383">
        <f t="shared" si="60"/>
        <v>18400000</v>
      </c>
      <c r="G616" s="384"/>
      <c r="H616" s="863"/>
      <c r="I616" s="860"/>
      <c r="J616" s="395"/>
      <c r="W616" s="54"/>
      <c r="Y616" s="343"/>
      <c r="Z616" s="51"/>
    </row>
    <row r="617" spans="2:26">
      <c r="B617" s="390">
        <v>45335</v>
      </c>
      <c r="C617" s="381" t="s">
        <v>219</v>
      </c>
      <c r="D617" s="382">
        <v>320</v>
      </c>
      <c r="E617" s="383">
        <f t="shared" si="61"/>
        <v>46000</v>
      </c>
      <c r="F617" s="383">
        <f t="shared" si="60"/>
        <v>14720000</v>
      </c>
      <c r="G617" s="384"/>
      <c r="H617" s="863"/>
      <c r="I617" s="860"/>
      <c r="J617" s="395"/>
      <c r="W617" s="54"/>
      <c r="Y617" s="343"/>
      <c r="Z617" s="51"/>
    </row>
    <row r="618" spans="2:26">
      <c r="B618" s="390">
        <v>45335</v>
      </c>
      <c r="C618" s="381" t="s">
        <v>219</v>
      </c>
      <c r="D618" s="382">
        <v>360</v>
      </c>
      <c r="E618" s="383">
        <f t="shared" ref="E618:E663" si="62">IFERROR(INDEX(daftar,MATCH(C618,nmdaftar,0),2),"-")</f>
        <v>46000</v>
      </c>
      <c r="F618" s="383">
        <f t="shared" si="60"/>
        <v>16560000</v>
      </c>
      <c r="G618" s="384"/>
      <c r="H618" s="863"/>
      <c r="I618" s="860"/>
      <c r="J618" s="395"/>
      <c r="W618" s="54"/>
      <c r="Y618" s="343"/>
      <c r="Z618" s="51"/>
    </row>
    <row r="619" spans="2:26">
      <c r="B619" s="390">
        <v>45337</v>
      </c>
      <c r="C619" s="381" t="s">
        <v>219</v>
      </c>
      <c r="D619" s="382">
        <v>720</v>
      </c>
      <c r="E619" s="383">
        <f t="shared" si="62"/>
        <v>46000</v>
      </c>
      <c r="F619" s="383">
        <f t="shared" si="60"/>
        <v>33120000</v>
      </c>
      <c r="G619" s="384"/>
      <c r="H619" s="863"/>
      <c r="I619" s="860"/>
      <c r="J619" s="395"/>
      <c r="W619" s="54"/>
      <c r="Y619" s="361"/>
      <c r="Z619" s="51"/>
    </row>
    <row r="620" spans="2:26">
      <c r="B620" s="694">
        <v>45337</v>
      </c>
      <c r="C620" s="381" t="s">
        <v>220</v>
      </c>
      <c r="D620" s="382">
        <v>750</v>
      </c>
      <c r="E620" s="393">
        <f t="shared" si="62"/>
        <v>27000</v>
      </c>
      <c r="F620" s="393">
        <f t="shared" si="60"/>
        <v>20250000</v>
      </c>
      <c r="G620" s="384"/>
      <c r="H620" s="863"/>
      <c r="I620" s="860"/>
      <c r="J620" s="395"/>
      <c r="W620" s="54"/>
      <c r="Y620" s="361"/>
      <c r="Z620" s="51"/>
    </row>
    <row r="621" spans="2:26">
      <c r="B621" s="695"/>
      <c r="C621" s="381" t="s">
        <v>219</v>
      </c>
      <c r="D621" s="382">
        <v>440</v>
      </c>
      <c r="E621" s="383">
        <f t="shared" si="62"/>
        <v>46000</v>
      </c>
      <c r="F621" s="383">
        <f t="shared" si="60"/>
        <v>20240000</v>
      </c>
      <c r="G621" s="384"/>
      <c r="H621" s="864"/>
      <c r="I621" s="861"/>
      <c r="J621" s="395"/>
      <c r="W621" s="54"/>
      <c r="Y621" s="361"/>
      <c r="Z621" s="51"/>
    </row>
    <row r="622" spans="2:26">
      <c r="B622" s="351">
        <v>45338</v>
      </c>
      <c r="C622" s="352" t="s">
        <v>219</v>
      </c>
      <c r="D622" s="353">
        <v>320</v>
      </c>
      <c r="E622" s="354">
        <f t="shared" si="62"/>
        <v>46000</v>
      </c>
      <c r="F622" s="354">
        <f t="shared" si="60"/>
        <v>14720000</v>
      </c>
      <c r="G622" s="356"/>
      <c r="H622" s="981"/>
      <c r="I622" s="865">
        <f>SUM(F622:F628)</f>
        <v>128420000</v>
      </c>
      <c r="J622" s="396"/>
      <c r="W622" s="54"/>
      <c r="Y622" s="361"/>
      <c r="Z622" s="51"/>
    </row>
    <row r="623" spans="2:26">
      <c r="B623" s="351">
        <v>45339</v>
      </c>
      <c r="C623" s="352" t="s">
        <v>219</v>
      </c>
      <c r="D623" s="353">
        <v>720</v>
      </c>
      <c r="E623" s="354">
        <f t="shared" si="62"/>
        <v>46000</v>
      </c>
      <c r="F623" s="354">
        <f t="shared" si="60"/>
        <v>33120000</v>
      </c>
      <c r="G623" s="356"/>
      <c r="H623" s="986"/>
      <c r="I623" s="866"/>
      <c r="J623" s="396"/>
      <c r="W623" s="54"/>
      <c r="Y623" s="361"/>
      <c r="Z623" s="51"/>
    </row>
    <row r="624" spans="2:26">
      <c r="B624" s="351">
        <v>45339</v>
      </c>
      <c r="C624" s="352" t="s">
        <v>219</v>
      </c>
      <c r="D624" s="353">
        <v>325</v>
      </c>
      <c r="E624" s="354">
        <f t="shared" si="62"/>
        <v>46000</v>
      </c>
      <c r="F624" s="354">
        <f t="shared" si="60"/>
        <v>14950000</v>
      </c>
      <c r="G624" s="356"/>
      <c r="H624" s="986"/>
      <c r="I624" s="866"/>
      <c r="J624" s="396"/>
      <c r="W624" s="54"/>
      <c r="Y624" s="361"/>
      <c r="Z624" s="51"/>
    </row>
    <row r="625" spans="2:26">
      <c r="B625" s="351">
        <v>45341</v>
      </c>
      <c r="C625" s="352" t="s">
        <v>226</v>
      </c>
      <c r="D625" s="353">
        <v>165</v>
      </c>
      <c r="E625" s="354">
        <f t="shared" si="62"/>
        <v>95500</v>
      </c>
      <c r="F625" s="354">
        <f t="shared" ref="F625:F632" si="63">IF(E625="-","-",D625*E625)</f>
        <v>15757500</v>
      </c>
      <c r="G625" s="356"/>
      <c r="H625" s="986"/>
      <c r="I625" s="866"/>
      <c r="J625" s="396"/>
      <c r="W625" s="54"/>
      <c r="Y625" s="376"/>
      <c r="Z625" s="51"/>
    </row>
    <row r="626" spans="2:26">
      <c r="B626" s="892">
        <v>45342</v>
      </c>
      <c r="C626" s="352" t="s">
        <v>226</v>
      </c>
      <c r="D626" s="353">
        <v>55</v>
      </c>
      <c r="E626" s="354">
        <f t="shared" si="62"/>
        <v>95500</v>
      </c>
      <c r="F626" s="354">
        <f t="shared" si="63"/>
        <v>5252500</v>
      </c>
      <c r="G626" s="356"/>
      <c r="H626" s="986"/>
      <c r="I626" s="866"/>
      <c r="J626" s="396"/>
      <c r="W626" s="54"/>
      <c r="Y626" s="376"/>
      <c r="Z626" s="51"/>
    </row>
    <row r="627" spans="2:26">
      <c r="B627" s="893"/>
      <c r="C627" s="352" t="s">
        <v>219</v>
      </c>
      <c r="D627" s="353">
        <v>600</v>
      </c>
      <c r="E627" s="354">
        <f t="shared" si="62"/>
        <v>46000</v>
      </c>
      <c r="F627" s="354">
        <f t="shared" si="63"/>
        <v>27600000</v>
      </c>
      <c r="G627" s="356"/>
      <c r="H627" s="986"/>
      <c r="I627" s="866"/>
      <c r="J627" s="396"/>
      <c r="W627" s="54"/>
      <c r="Y627" s="376"/>
      <c r="Z627" s="51"/>
    </row>
    <row r="628" spans="2:26">
      <c r="B628" s="351">
        <v>45342</v>
      </c>
      <c r="C628" s="352" t="s">
        <v>219</v>
      </c>
      <c r="D628" s="353">
        <v>370</v>
      </c>
      <c r="E628" s="354">
        <f t="shared" si="62"/>
        <v>46000</v>
      </c>
      <c r="F628" s="354">
        <f t="shared" si="63"/>
        <v>17020000</v>
      </c>
      <c r="G628" s="356"/>
      <c r="H628" s="982"/>
      <c r="I628" s="867"/>
      <c r="J628" s="396"/>
      <c r="W628" s="54"/>
      <c r="Y628" s="376"/>
      <c r="Z628" s="51"/>
    </row>
    <row r="629" spans="2:26">
      <c r="B629" s="398">
        <v>45343</v>
      </c>
      <c r="C629" s="39" t="s">
        <v>219</v>
      </c>
      <c r="D629" s="323">
        <v>315</v>
      </c>
      <c r="E629" s="41">
        <f t="shared" si="62"/>
        <v>46000</v>
      </c>
      <c r="F629" s="41">
        <f t="shared" si="63"/>
        <v>14490000</v>
      </c>
      <c r="G629" s="43"/>
      <c r="H629" s="845"/>
      <c r="I629" s="728">
        <f>SUM(F629:F635)</f>
        <v>99500000</v>
      </c>
      <c r="J629" s="399"/>
      <c r="W629" s="54"/>
      <c r="Y629" s="376"/>
      <c r="Z629" s="51"/>
    </row>
    <row r="630" spans="2:26">
      <c r="B630" s="398">
        <v>45343</v>
      </c>
      <c r="C630" s="39" t="s">
        <v>219</v>
      </c>
      <c r="D630" s="323">
        <v>330</v>
      </c>
      <c r="E630" s="41">
        <f t="shared" si="62"/>
        <v>46000</v>
      </c>
      <c r="F630" s="41">
        <f t="shared" si="63"/>
        <v>15180000</v>
      </c>
      <c r="G630" s="43"/>
      <c r="H630" s="846"/>
      <c r="I630" s="729"/>
      <c r="J630" s="399"/>
      <c r="W630" s="54"/>
      <c r="Y630" s="376"/>
      <c r="Z630" s="51"/>
    </row>
    <row r="631" spans="2:26">
      <c r="B631" s="398">
        <v>45343</v>
      </c>
      <c r="C631" s="39" t="s">
        <v>219</v>
      </c>
      <c r="D631" s="323">
        <v>370</v>
      </c>
      <c r="E631" s="41">
        <f t="shared" si="62"/>
        <v>46000</v>
      </c>
      <c r="F631" s="41">
        <f t="shared" si="63"/>
        <v>17020000</v>
      </c>
      <c r="G631" s="43"/>
      <c r="H631" s="846"/>
      <c r="I631" s="729"/>
      <c r="J631" s="399"/>
      <c r="W631" s="54"/>
      <c r="Y631" s="376"/>
      <c r="Z631" s="51"/>
    </row>
    <row r="632" spans="2:26">
      <c r="B632" s="398">
        <v>45343</v>
      </c>
      <c r="C632" s="39" t="s">
        <v>219</v>
      </c>
      <c r="D632" s="323">
        <v>720</v>
      </c>
      <c r="E632" s="41">
        <f t="shared" si="62"/>
        <v>46000</v>
      </c>
      <c r="F632" s="41">
        <f t="shared" si="63"/>
        <v>33120000</v>
      </c>
      <c r="G632" s="43"/>
      <c r="H632" s="846"/>
      <c r="I632" s="729"/>
      <c r="J632" s="399"/>
      <c r="W632" s="54"/>
      <c r="Y632" s="364"/>
      <c r="Z632" s="51"/>
    </row>
    <row r="633" spans="2:26">
      <c r="B633" s="702">
        <v>45344</v>
      </c>
      <c r="C633" s="39" t="s">
        <v>222</v>
      </c>
      <c r="D633" s="323">
        <v>300</v>
      </c>
      <c r="E633" s="41">
        <f t="shared" si="62"/>
        <v>14000</v>
      </c>
      <c r="F633" s="47">
        <f>IF(E633="-","-",D633*E633)</f>
        <v>4200000</v>
      </c>
      <c r="G633" s="43"/>
      <c r="H633" s="846"/>
      <c r="I633" s="729"/>
      <c r="J633" s="399"/>
      <c r="W633" s="54"/>
      <c r="Y633" s="364"/>
      <c r="Z633" s="51"/>
    </row>
    <row r="634" spans="2:26">
      <c r="B634" s="703"/>
      <c r="C634" s="39" t="s">
        <v>224</v>
      </c>
      <c r="D634" s="323">
        <v>400</v>
      </c>
      <c r="E634" s="41">
        <f t="shared" si="62"/>
        <v>14000</v>
      </c>
      <c r="F634" s="47">
        <f>IF(E634="-","-",D634*E634)</f>
        <v>5600000</v>
      </c>
      <c r="G634" s="43"/>
      <c r="H634" s="846"/>
      <c r="I634" s="729"/>
      <c r="J634" s="399"/>
      <c r="W634" s="54"/>
      <c r="Y634" s="364"/>
      <c r="Z634" s="51"/>
    </row>
    <row r="635" spans="2:26">
      <c r="B635" s="704"/>
      <c r="C635" s="39" t="s">
        <v>219</v>
      </c>
      <c r="D635" s="323">
        <v>215</v>
      </c>
      <c r="E635" s="41">
        <f t="shared" si="62"/>
        <v>46000</v>
      </c>
      <c r="F635" s="41">
        <f t="shared" ref="F635:F643" si="64">IF(E635="-","-",D635*E635)</f>
        <v>9890000</v>
      </c>
      <c r="G635" s="43"/>
      <c r="H635" s="847"/>
      <c r="I635" s="730"/>
      <c r="J635" s="399"/>
      <c r="W635" s="54"/>
      <c r="Y635" s="364"/>
      <c r="Z635" s="51"/>
    </row>
    <row r="636" spans="2:26">
      <c r="B636" s="312">
        <v>45345</v>
      </c>
      <c r="C636" s="313" t="s">
        <v>219</v>
      </c>
      <c r="D636" s="402">
        <v>740</v>
      </c>
      <c r="E636" s="315">
        <f t="shared" si="62"/>
        <v>46000</v>
      </c>
      <c r="F636" s="315">
        <f t="shared" si="64"/>
        <v>34040000</v>
      </c>
      <c r="G636" s="317"/>
      <c r="H636" s="990"/>
      <c r="I636" s="765">
        <f>SUM(F636:F638)</f>
        <v>82340000</v>
      </c>
      <c r="J636" s="768"/>
      <c r="W636" s="54"/>
      <c r="Y636" s="364"/>
      <c r="Z636" s="51"/>
    </row>
    <row r="637" spans="2:26">
      <c r="B637" s="312">
        <v>45345</v>
      </c>
      <c r="C637" s="313" t="s">
        <v>219</v>
      </c>
      <c r="D637" s="402">
        <v>720</v>
      </c>
      <c r="E637" s="315">
        <f t="shared" si="62"/>
        <v>46000</v>
      </c>
      <c r="F637" s="315">
        <f t="shared" si="64"/>
        <v>33120000</v>
      </c>
      <c r="G637" s="317"/>
      <c r="H637" s="991"/>
      <c r="I637" s="766"/>
      <c r="J637" s="769"/>
      <c r="W637" s="54"/>
      <c r="Y637" s="379"/>
      <c r="Z637" s="51"/>
    </row>
    <row r="638" spans="2:26">
      <c r="B638" s="312">
        <v>45346</v>
      </c>
      <c r="C638" s="313" t="s">
        <v>219</v>
      </c>
      <c r="D638" s="402">
        <v>330</v>
      </c>
      <c r="E638" s="315">
        <f t="shared" si="62"/>
        <v>46000</v>
      </c>
      <c r="F638" s="315">
        <f t="shared" si="64"/>
        <v>15180000</v>
      </c>
      <c r="G638" s="317"/>
      <c r="H638" s="992"/>
      <c r="I638" s="767"/>
      <c r="J638" s="770"/>
      <c r="W638" s="54"/>
      <c r="Y638" s="379"/>
      <c r="Z638" s="51"/>
    </row>
    <row r="639" spans="2:26">
      <c r="B639" s="400">
        <v>45348</v>
      </c>
      <c r="C639" s="232" t="s">
        <v>219</v>
      </c>
      <c r="D639" s="327">
        <v>740</v>
      </c>
      <c r="E639" s="234">
        <f t="shared" si="62"/>
        <v>46000</v>
      </c>
      <c r="F639" s="234">
        <f t="shared" si="64"/>
        <v>34040000</v>
      </c>
      <c r="G639" s="276"/>
      <c r="H639" s="883">
        <v>45360</v>
      </c>
      <c r="I639" s="650">
        <f>SUM(F639:F640)</f>
        <v>48990000</v>
      </c>
      <c r="J639" s="674"/>
      <c r="W639" s="54"/>
      <c r="Y639" s="389"/>
      <c r="Z639" s="51"/>
    </row>
    <row r="640" spans="2:26">
      <c r="B640" s="400">
        <v>45348</v>
      </c>
      <c r="C640" s="232" t="s">
        <v>219</v>
      </c>
      <c r="D640" s="327">
        <v>325</v>
      </c>
      <c r="E640" s="234">
        <f t="shared" si="62"/>
        <v>46000</v>
      </c>
      <c r="F640" s="234">
        <f t="shared" si="64"/>
        <v>14950000</v>
      </c>
      <c r="G640" s="276"/>
      <c r="H640" s="885"/>
      <c r="I640" s="652"/>
      <c r="J640" s="675"/>
      <c r="W640" s="54"/>
      <c r="Y640" s="389"/>
      <c r="Z640" s="51"/>
    </row>
    <row r="641" spans="2:26">
      <c r="B641" s="405">
        <v>45349</v>
      </c>
      <c r="C641" s="39" t="s">
        <v>219</v>
      </c>
      <c r="D641" s="323">
        <v>720</v>
      </c>
      <c r="E641" s="41">
        <f t="shared" si="62"/>
        <v>46000</v>
      </c>
      <c r="F641" s="41">
        <f t="shared" si="64"/>
        <v>33120000</v>
      </c>
      <c r="G641" s="43"/>
      <c r="H641" s="845">
        <v>45369</v>
      </c>
      <c r="I641" s="728">
        <f>SUM(F641:F645)</f>
        <v>102742000</v>
      </c>
      <c r="J641" s="732"/>
      <c r="W641" s="54"/>
      <c r="Y641" s="389"/>
      <c r="Z641" s="51"/>
    </row>
    <row r="642" spans="2:26">
      <c r="B642" s="405">
        <v>45349</v>
      </c>
      <c r="C642" s="39" t="s">
        <v>219</v>
      </c>
      <c r="D642" s="323">
        <v>740</v>
      </c>
      <c r="E642" s="41">
        <f t="shared" si="62"/>
        <v>46000</v>
      </c>
      <c r="F642" s="41">
        <f t="shared" si="64"/>
        <v>34040000</v>
      </c>
      <c r="G642" s="43"/>
      <c r="H642" s="846"/>
      <c r="I642" s="729"/>
      <c r="J642" s="733"/>
      <c r="W642" s="54"/>
      <c r="Y642" s="389"/>
      <c r="Z642" s="51"/>
    </row>
    <row r="643" spans="2:26">
      <c r="B643" s="405">
        <v>45349</v>
      </c>
      <c r="C643" s="39" t="s">
        <v>219</v>
      </c>
      <c r="D643" s="323">
        <v>330</v>
      </c>
      <c r="E643" s="41">
        <f t="shared" si="62"/>
        <v>46000</v>
      </c>
      <c r="F643" s="41">
        <f t="shared" si="64"/>
        <v>15180000</v>
      </c>
      <c r="G643" s="43"/>
      <c r="H643" s="846"/>
      <c r="I643" s="729"/>
      <c r="J643" s="733"/>
      <c r="W643" s="54"/>
      <c r="Y643" s="389"/>
      <c r="Z643" s="51"/>
    </row>
    <row r="644" spans="2:26">
      <c r="B644" s="702">
        <v>45350</v>
      </c>
      <c r="C644" s="39" t="s">
        <v>220</v>
      </c>
      <c r="D644" s="323">
        <v>466</v>
      </c>
      <c r="E644" s="41">
        <f t="shared" si="62"/>
        <v>27000</v>
      </c>
      <c r="F644" s="41">
        <f t="shared" ref="F644:F663" si="65">IF(E644="-","-",D644*E644)</f>
        <v>12582000</v>
      </c>
      <c r="G644" s="43"/>
      <c r="H644" s="846"/>
      <c r="I644" s="729"/>
      <c r="J644" s="733"/>
      <c r="W644" s="54"/>
      <c r="Y644" s="392"/>
      <c r="Z644" s="51"/>
    </row>
    <row r="645" spans="2:26">
      <c r="B645" s="704"/>
      <c r="C645" s="39" t="s">
        <v>219</v>
      </c>
      <c r="D645" s="323">
        <v>170</v>
      </c>
      <c r="E645" s="41">
        <f t="shared" si="62"/>
        <v>46000</v>
      </c>
      <c r="F645" s="41">
        <f t="shared" si="65"/>
        <v>7820000</v>
      </c>
      <c r="G645" s="43"/>
      <c r="H645" s="847"/>
      <c r="I645" s="730"/>
      <c r="J645" s="734"/>
      <c r="W645" s="54"/>
      <c r="Y645" s="392"/>
      <c r="Z645" s="51"/>
    </row>
    <row r="646" spans="2:26">
      <c r="B646" s="408">
        <v>45350</v>
      </c>
      <c r="C646" s="212" t="s">
        <v>219</v>
      </c>
      <c r="D646" s="412">
        <v>720</v>
      </c>
      <c r="E646" s="214">
        <f t="shared" si="62"/>
        <v>46000</v>
      </c>
      <c r="F646" s="214">
        <f t="shared" si="65"/>
        <v>33120000</v>
      </c>
      <c r="G646" s="275"/>
      <c r="H646" s="999">
        <v>45372</v>
      </c>
      <c r="I646" s="786">
        <f>SUM(F646:F647)</f>
        <v>66240000</v>
      </c>
      <c r="J646" s="775"/>
      <c r="K646">
        <v>1</v>
      </c>
      <c r="W646" s="54"/>
      <c r="Y646" s="392"/>
      <c r="Z646" s="51"/>
    </row>
    <row r="647" spans="2:26">
      <c r="B647" s="408">
        <v>45350</v>
      </c>
      <c r="C647" s="212" t="s">
        <v>219</v>
      </c>
      <c r="D647" s="412">
        <v>720</v>
      </c>
      <c r="E647" s="214">
        <f t="shared" si="62"/>
        <v>46000</v>
      </c>
      <c r="F647" s="214">
        <f t="shared" si="65"/>
        <v>33120000</v>
      </c>
      <c r="G647" s="275"/>
      <c r="H647" s="1000"/>
      <c r="I647" s="788"/>
      <c r="J647" s="777"/>
      <c r="K647">
        <v>2</v>
      </c>
      <c r="W647" s="54"/>
      <c r="Y647" s="392"/>
      <c r="Z647" s="51"/>
    </row>
    <row r="648" spans="2:26">
      <c r="B648" s="410">
        <v>45352</v>
      </c>
      <c r="C648" s="39" t="s">
        <v>219</v>
      </c>
      <c r="D648" s="323">
        <v>720</v>
      </c>
      <c r="E648" s="41">
        <f t="shared" si="62"/>
        <v>46000</v>
      </c>
      <c r="F648" s="41">
        <f t="shared" si="65"/>
        <v>33120000</v>
      </c>
      <c r="G648" s="43"/>
      <c r="H648" s="845">
        <v>45375</v>
      </c>
      <c r="I648" s="728">
        <f>SUM(F648:F651)</f>
        <v>96600000</v>
      </c>
      <c r="J648" s="732"/>
      <c r="K648">
        <v>3</v>
      </c>
      <c r="W648" s="54"/>
      <c r="Y648" s="392"/>
      <c r="Z648" s="51"/>
    </row>
    <row r="649" spans="2:26">
      <c r="B649" s="410">
        <v>45352</v>
      </c>
      <c r="C649" s="39" t="s">
        <v>219</v>
      </c>
      <c r="D649" s="323">
        <v>360</v>
      </c>
      <c r="E649" s="41">
        <f t="shared" si="62"/>
        <v>46000</v>
      </c>
      <c r="F649" s="41">
        <f t="shared" si="65"/>
        <v>16560000</v>
      </c>
      <c r="G649" s="43"/>
      <c r="H649" s="846"/>
      <c r="I649" s="729"/>
      <c r="J649" s="733"/>
      <c r="K649">
        <v>4</v>
      </c>
      <c r="W649" s="54"/>
      <c r="Y649" s="392"/>
      <c r="Z649" s="51"/>
    </row>
    <row r="650" spans="2:26">
      <c r="B650" s="410">
        <v>45353</v>
      </c>
      <c r="C650" s="39" t="s">
        <v>219</v>
      </c>
      <c r="D650" s="323">
        <v>320</v>
      </c>
      <c r="E650" s="41">
        <f t="shared" si="62"/>
        <v>46000</v>
      </c>
      <c r="F650" s="41">
        <f t="shared" si="65"/>
        <v>14720000</v>
      </c>
      <c r="G650" s="43"/>
      <c r="H650" s="846"/>
      <c r="I650" s="729"/>
      <c r="J650" s="733"/>
      <c r="K650">
        <v>5</v>
      </c>
      <c r="W650" s="54"/>
      <c r="Y650" s="392"/>
      <c r="Z650" s="51"/>
    </row>
    <row r="651" spans="2:26">
      <c r="B651" s="410">
        <v>45353</v>
      </c>
      <c r="C651" s="39" t="s">
        <v>219</v>
      </c>
      <c r="D651" s="323">
        <v>700</v>
      </c>
      <c r="E651" s="41">
        <f t="shared" si="62"/>
        <v>46000</v>
      </c>
      <c r="F651" s="41">
        <f t="shared" si="65"/>
        <v>32200000</v>
      </c>
      <c r="G651" s="43"/>
      <c r="H651" s="847"/>
      <c r="I651" s="730"/>
      <c r="J651" s="734"/>
      <c r="K651">
        <v>6</v>
      </c>
      <c r="W651" s="54"/>
      <c r="Y651" s="392"/>
      <c r="Z651" s="51"/>
    </row>
    <row r="652" spans="2:26">
      <c r="B652" s="411">
        <v>45355</v>
      </c>
      <c r="C652" s="232" t="s">
        <v>219</v>
      </c>
      <c r="D652" s="327">
        <v>720</v>
      </c>
      <c r="E652" s="234">
        <f t="shared" si="62"/>
        <v>46000</v>
      </c>
      <c r="F652" s="234">
        <f t="shared" si="65"/>
        <v>33120000</v>
      </c>
      <c r="G652" s="276"/>
      <c r="H652" s="883">
        <v>45377</v>
      </c>
      <c r="I652" s="650">
        <f>SUM(F652:F654)</f>
        <v>66240000</v>
      </c>
      <c r="J652" s="674"/>
      <c r="K652">
        <v>7</v>
      </c>
      <c r="W652" s="54"/>
      <c r="Y652" s="394"/>
      <c r="Z652" s="51"/>
    </row>
    <row r="653" spans="2:26">
      <c r="B653" s="411">
        <v>45356</v>
      </c>
      <c r="C653" s="232" t="s">
        <v>219</v>
      </c>
      <c r="D653" s="327">
        <v>390</v>
      </c>
      <c r="E653" s="234">
        <f t="shared" si="62"/>
        <v>46000</v>
      </c>
      <c r="F653" s="234">
        <f t="shared" si="65"/>
        <v>17940000</v>
      </c>
      <c r="G653" s="276"/>
      <c r="H653" s="884"/>
      <c r="I653" s="651"/>
      <c r="J653" s="752"/>
      <c r="K653">
        <v>8</v>
      </c>
      <c r="W653" s="54"/>
      <c r="Y653" s="394"/>
      <c r="Z653" s="51"/>
    </row>
    <row r="654" spans="2:26">
      <c r="B654" s="411">
        <v>45356</v>
      </c>
      <c r="C654" s="232" t="s">
        <v>219</v>
      </c>
      <c r="D654" s="327">
        <v>330</v>
      </c>
      <c r="E654" s="234">
        <f t="shared" si="62"/>
        <v>46000</v>
      </c>
      <c r="F654" s="234">
        <f t="shared" si="65"/>
        <v>15180000</v>
      </c>
      <c r="G654" s="276"/>
      <c r="H654" s="885"/>
      <c r="I654" s="652"/>
      <c r="J654" s="675"/>
      <c r="K654">
        <v>9</v>
      </c>
      <c r="W654" s="54"/>
      <c r="Y654" s="394"/>
      <c r="Z654" s="51"/>
    </row>
    <row r="655" spans="2:26">
      <c r="B655" s="416">
        <v>45357</v>
      </c>
      <c r="C655" s="39" t="s">
        <v>219</v>
      </c>
      <c r="D655" s="323">
        <v>350</v>
      </c>
      <c r="E655" s="41">
        <f t="shared" si="62"/>
        <v>46000</v>
      </c>
      <c r="F655" s="41">
        <f t="shared" si="65"/>
        <v>16100000</v>
      </c>
      <c r="G655" s="43"/>
      <c r="H655" s="845">
        <v>45381</v>
      </c>
      <c r="I655" s="728">
        <f>SUM(F655:F661)</f>
        <v>84348000</v>
      </c>
      <c r="J655" s="732"/>
      <c r="K655">
        <v>10</v>
      </c>
      <c r="W655" s="54"/>
      <c r="Y655" s="394"/>
      <c r="Z655" s="51"/>
    </row>
    <row r="656" spans="2:26">
      <c r="B656" s="415">
        <v>45358</v>
      </c>
      <c r="C656" s="39" t="s">
        <v>219</v>
      </c>
      <c r="D656" s="323">
        <v>350</v>
      </c>
      <c r="E656" s="41">
        <f t="shared" si="62"/>
        <v>46000</v>
      </c>
      <c r="F656" s="41">
        <f t="shared" si="65"/>
        <v>16100000</v>
      </c>
      <c r="G656" s="43"/>
      <c r="H656" s="846"/>
      <c r="I656" s="729"/>
      <c r="J656" s="733"/>
      <c r="K656">
        <v>11</v>
      </c>
      <c r="W656" s="54"/>
      <c r="Y656" s="397"/>
      <c r="Z656" s="51"/>
    </row>
    <row r="657" spans="2:26">
      <c r="B657" s="703">
        <v>45358</v>
      </c>
      <c r="C657" s="39" t="s">
        <v>222</v>
      </c>
      <c r="D657" s="323">
        <v>200</v>
      </c>
      <c r="E657" s="41">
        <f t="shared" si="62"/>
        <v>14000</v>
      </c>
      <c r="F657" s="41">
        <f t="shared" si="65"/>
        <v>2800000</v>
      </c>
      <c r="G657" s="43"/>
      <c r="H657" s="846"/>
      <c r="I657" s="729"/>
      <c r="J657" s="733"/>
      <c r="K657">
        <v>12</v>
      </c>
      <c r="W657" s="54"/>
      <c r="Y657" s="397"/>
      <c r="Z657" s="51"/>
    </row>
    <row r="658" spans="2:26">
      <c r="B658" s="703"/>
      <c r="C658" s="39" t="s">
        <v>224</v>
      </c>
      <c r="D658" s="323">
        <v>100</v>
      </c>
      <c r="E658" s="41">
        <f t="shared" si="62"/>
        <v>14000</v>
      </c>
      <c r="F658" s="41">
        <f t="shared" si="65"/>
        <v>1400000</v>
      </c>
      <c r="G658" s="43"/>
      <c r="H658" s="846"/>
      <c r="I658" s="729"/>
      <c r="J658" s="733"/>
      <c r="K658">
        <v>13</v>
      </c>
      <c r="W658" s="54"/>
      <c r="Y658" s="397"/>
      <c r="Z658" s="51"/>
    </row>
    <row r="659" spans="2:26">
      <c r="B659" s="704"/>
      <c r="C659" s="39" t="s">
        <v>219</v>
      </c>
      <c r="D659" s="323">
        <v>240</v>
      </c>
      <c r="E659" s="41">
        <f t="shared" si="62"/>
        <v>46000</v>
      </c>
      <c r="F659" s="41">
        <f t="shared" si="65"/>
        <v>11040000</v>
      </c>
      <c r="G659" s="43"/>
      <c r="H659" s="846"/>
      <c r="I659" s="729"/>
      <c r="J659" s="733"/>
      <c r="K659">
        <v>14</v>
      </c>
      <c r="W659" s="54"/>
      <c r="Y659" s="397"/>
      <c r="Z659" s="51"/>
    </row>
    <row r="660" spans="2:26">
      <c r="B660" s="702">
        <v>45358</v>
      </c>
      <c r="C660" s="39" t="s">
        <v>219</v>
      </c>
      <c r="D660" s="323">
        <v>665</v>
      </c>
      <c r="E660" s="41">
        <f t="shared" si="62"/>
        <v>46000</v>
      </c>
      <c r="F660" s="41">
        <f t="shared" si="65"/>
        <v>30590000</v>
      </c>
      <c r="G660" s="43"/>
      <c r="H660" s="846"/>
      <c r="I660" s="729"/>
      <c r="J660" s="733"/>
      <c r="K660">
        <v>15</v>
      </c>
      <c r="W660" s="54"/>
      <c r="Y660" s="397"/>
      <c r="Z660" s="51"/>
    </row>
    <row r="661" spans="2:26">
      <c r="B661" s="704"/>
      <c r="C661" s="39" t="s">
        <v>220</v>
      </c>
      <c r="D661" s="323">
        <v>234</v>
      </c>
      <c r="E661" s="41">
        <f t="shared" si="62"/>
        <v>27000</v>
      </c>
      <c r="F661" s="41">
        <f t="shared" si="65"/>
        <v>6318000</v>
      </c>
      <c r="G661" s="43"/>
      <c r="H661" s="847"/>
      <c r="I661" s="730"/>
      <c r="J661" s="734"/>
      <c r="K661">
        <v>16</v>
      </c>
      <c r="W661" s="54"/>
      <c r="Y661" s="397"/>
      <c r="Z661" s="51"/>
    </row>
    <row r="662" spans="2:26">
      <c r="B662" s="419">
        <v>45362</v>
      </c>
      <c r="C662" s="196" t="s">
        <v>226</v>
      </c>
      <c r="D662" s="423">
        <v>190</v>
      </c>
      <c r="E662" s="198">
        <f t="shared" si="62"/>
        <v>95500</v>
      </c>
      <c r="F662" s="198">
        <f t="shared" si="65"/>
        <v>18145000</v>
      </c>
      <c r="G662" s="273"/>
      <c r="H662" s="855">
        <v>45384</v>
      </c>
      <c r="I662" s="852">
        <f>SUM(F662:F670)</f>
        <v>146395000</v>
      </c>
      <c r="J662" s="852"/>
      <c r="K662">
        <v>17</v>
      </c>
      <c r="W662" s="54"/>
      <c r="Y662" s="401"/>
      <c r="Z662" s="51"/>
    </row>
    <row r="663" spans="2:26">
      <c r="B663" s="419">
        <v>45364</v>
      </c>
      <c r="C663" s="196" t="s">
        <v>219</v>
      </c>
      <c r="D663" s="423">
        <v>330</v>
      </c>
      <c r="E663" s="198">
        <f t="shared" si="62"/>
        <v>46000</v>
      </c>
      <c r="F663" s="198">
        <f t="shared" si="65"/>
        <v>15180000</v>
      </c>
      <c r="G663" s="273"/>
      <c r="H663" s="856"/>
      <c r="I663" s="853"/>
      <c r="J663" s="853"/>
      <c r="K663">
        <v>18</v>
      </c>
      <c r="W663" s="54"/>
      <c r="Y663" s="401"/>
      <c r="Z663" s="51"/>
    </row>
    <row r="664" spans="2:26">
      <c r="B664" s="419">
        <v>45365</v>
      </c>
      <c r="C664" s="196" t="s">
        <v>219</v>
      </c>
      <c r="D664" s="423">
        <v>320</v>
      </c>
      <c r="E664" s="198">
        <f t="shared" ref="E664:E670" si="66">IFERROR(INDEX(daftar,MATCH(C664,nmdaftar,0),2),"-")</f>
        <v>46000</v>
      </c>
      <c r="F664" s="198">
        <f t="shared" ref="F664:F670" si="67">IF(E664="-","-",D664*E664)</f>
        <v>14720000</v>
      </c>
      <c r="G664" s="273"/>
      <c r="H664" s="856"/>
      <c r="I664" s="853"/>
      <c r="J664" s="853"/>
      <c r="K664">
        <v>20</v>
      </c>
      <c r="W664" s="54"/>
      <c r="Y664" s="403"/>
      <c r="Z664" s="51"/>
    </row>
    <row r="665" spans="2:26">
      <c r="B665" s="419">
        <v>45366</v>
      </c>
      <c r="C665" s="196" t="s">
        <v>219</v>
      </c>
      <c r="D665" s="423">
        <v>710</v>
      </c>
      <c r="E665" s="198">
        <f>IFERROR(INDEX(daftar,MATCH(C665,nmdaftar,0),2),"-")</f>
        <v>46000</v>
      </c>
      <c r="F665" s="198">
        <f>IF(E665="-","-",D665*E665)</f>
        <v>32660000</v>
      </c>
      <c r="G665" s="273"/>
      <c r="H665" s="856"/>
      <c r="I665" s="853"/>
      <c r="J665" s="853"/>
      <c r="K665">
        <v>21</v>
      </c>
      <c r="W665" s="54"/>
      <c r="Y665" s="404"/>
      <c r="Z665" s="51"/>
    </row>
    <row r="666" spans="2:26">
      <c r="B666" s="419">
        <v>45366</v>
      </c>
      <c r="C666" s="196" t="s">
        <v>219</v>
      </c>
      <c r="D666" s="423">
        <v>330</v>
      </c>
      <c r="E666" s="198">
        <f>IFERROR(INDEX(daftar,MATCH(C666,nmdaftar,0),2),"-")</f>
        <v>46000</v>
      </c>
      <c r="F666" s="198">
        <f>IF(E666="-","-",D666*E666)</f>
        <v>15180000</v>
      </c>
      <c r="G666" s="273"/>
      <c r="H666" s="856"/>
      <c r="I666" s="853"/>
      <c r="J666" s="853"/>
      <c r="K666">
        <v>22</v>
      </c>
      <c r="W666" s="54"/>
      <c r="Y666" s="404"/>
      <c r="Z666" s="51"/>
    </row>
    <row r="667" spans="2:26">
      <c r="B667" s="424">
        <v>45367</v>
      </c>
      <c r="C667" s="196" t="s">
        <v>219</v>
      </c>
      <c r="D667" s="423">
        <v>720</v>
      </c>
      <c r="E667" s="198">
        <f>IFERROR(INDEX(daftar,MATCH(C667,nmdaftar,0),2),"-")</f>
        <v>46000</v>
      </c>
      <c r="F667" s="198">
        <f>IF(E667="-","-",D667*E667)</f>
        <v>33120000</v>
      </c>
      <c r="G667" s="273"/>
      <c r="H667" s="856"/>
      <c r="I667" s="853"/>
      <c r="J667" s="853"/>
      <c r="K667">
        <v>23</v>
      </c>
      <c r="W667" s="54"/>
      <c r="Y667" s="404"/>
      <c r="Z667" s="51"/>
    </row>
    <row r="668" spans="2:26">
      <c r="B668" s="849">
        <v>45367</v>
      </c>
      <c r="C668" s="196" t="s">
        <v>222</v>
      </c>
      <c r="D668" s="423">
        <v>500</v>
      </c>
      <c r="E668" s="198">
        <f t="shared" si="66"/>
        <v>14000</v>
      </c>
      <c r="F668" s="198">
        <f t="shared" si="67"/>
        <v>7000000</v>
      </c>
      <c r="G668" s="273"/>
      <c r="H668" s="856"/>
      <c r="I668" s="853"/>
      <c r="J668" s="853"/>
      <c r="K668">
        <v>24</v>
      </c>
      <c r="W668" s="54"/>
      <c r="Y668" s="404"/>
      <c r="Z668" s="51"/>
    </row>
    <row r="669" spans="2:26">
      <c r="B669" s="850"/>
      <c r="C669" s="196" t="s">
        <v>224</v>
      </c>
      <c r="D669" s="423">
        <v>200</v>
      </c>
      <c r="E669" s="198">
        <f t="shared" si="66"/>
        <v>14000</v>
      </c>
      <c r="F669" s="198">
        <f t="shared" si="67"/>
        <v>2800000</v>
      </c>
      <c r="G669" s="273"/>
      <c r="H669" s="856"/>
      <c r="I669" s="853"/>
      <c r="J669" s="853"/>
      <c r="K669">
        <v>25</v>
      </c>
      <c r="W669" s="54"/>
      <c r="Y669" s="404"/>
      <c r="Z669" s="51"/>
    </row>
    <row r="670" spans="2:26">
      <c r="B670" s="851"/>
      <c r="C670" s="196" t="s">
        <v>219</v>
      </c>
      <c r="D670" s="423">
        <v>165</v>
      </c>
      <c r="E670" s="198">
        <f t="shared" si="66"/>
        <v>46000</v>
      </c>
      <c r="F670" s="198">
        <f t="shared" si="67"/>
        <v>7590000</v>
      </c>
      <c r="G670" s="273"/>
      <c r="H670" s="857"/>
      <c r="I670" s="854"/>
      <c r="J670" s="854"/>
      <c r="K670">
        <v>26</v>
      </c>
      <c r="W670" s="54"/>
      <c r="Y670" s="404"/>
      <c r="Z670" s="51"/>
    </row>
    <row r="671" spans="2:26">
      <c r="B671" s="421">
        <v>45370</v>
      </c>
      <c r="C671" s="39" t="s">
        <v>219</v>
      </c>
      <c r="D671" s="323">
        <v>720</v>
      </c>
      <c r="E671" s="41">
        <f t="shared" ref="E671:E702" si="68">IFERROR(INDEX(daftar,MATCH(C671,nmdaftar,0),2),"-")</f>
        <v>46000</v>
      </c>
      <c r="F671" s="41">
        <f t="shared" ref="F671:F702" si="69">IF(E671="-","-",D671*E671)</f>
        <v>33120000</v>
      </c>
      <c r="G671" s="43"/>
      <c r="H671" s="845">
        <v>45389</v>
      </c>
      <c r="I671" s="728">
        <f>SUM(F671:F673)</f>
        <v>69900000</v>
      </c>
      <c r="J671" s="732"/>
      <c r="W671" s="54"/>
      <c r="Y671" s="406"/>
      <c r="Z671" s="51"/>
    </row>
    <row r="672" spans="2:26">
      <c r="B672" s="421">
        <v>45371</v>
      </c>
      <c r="C672" s="39" t="s">
        <v>220</v>
      </c>
      <c r="D672" s="323">
        <v>800</v>
      </c>
      <c r="E672" s="41">
        <f t="shared" si="68"/>
        <v>27000</v>
      </c>
      <c r="F672" s="41">
        <f t="shared" si="69"/>
        <v>21600000</v>
      </c>
      <c r="G672" s="43"/>
      <c r="H672" s="846"/>
      <c r="I672" s="729"/>
      <c r="J672" s="733"/>
      <c r="W672" s="54"/>
      <c r="Y672" s="406"/>
      <c r="Z672" s="51"/>
    </row>
    <row r="673" spans="2:26">
      <c r="B673" s="421">
        <v>45371</v>
      </c>
      <c r="C673" s="39" t="s">
        <v>219</v>
      </c>
      <c r="D673" s="323">
        <v>330</v>
      </c>
      <c r="E673" s="41">
        <f t="shared" si="68"/>
        <v>46000</v>
      </c>
      <c r="F673" s="41">
        <f t="shared" si="69"/>
        <v>15180000</v>
      </c>
      <c r="G673" s="43"/>
      <c r="H673" s="847"/>
      <c r="I673" s="730"/>
      <c r="J673" s="734"/>
      <c r="W673" s="54"/>
      <c r="Y673" s="407"/>
      <c r="Z673" s="51"/>
    </row>
    <row r="674" spans="2:26">
      <c r="B674" s="422">
        <v>45372</v>
      </c>
      <c r="C674" s="232" t="s">
        <v>219</v>
      </c>
      <c r="D674" s="327">
        <v>345</v>
      </c>
      <c r="E674" s="234">
        <f t="shared" si="68"/>
        <v>46000</v>
      </c>
      <c r="F674" s="234">
        <f t="shared" si="69"/>
        <v>15870000</v>
      </c>
      <c r="G674" s="276"/>
      <c r="H674" s="883">
        <v>45390</v>
      </c>
      <c r="I674" s="650">
        <f>SUM(F674:F678)</f>
        <v>71430000</v>
      </c>
      <c r="J674" s="883"/>
      <c r="W674" s="54"/>
      <c r="Y674" s="407"/>
      <c r="Z674" s="51"/>
    </row>
    <row r="675" spans="2:26">
      <c r="B675" s="700">
        <v>45373</v>
      </c>
      <c r="C675" s="232" t="s">
        <v>222</v>
      </c>
      <c r="D675" s="327">
        <v>300</v>
      </c>
      <c r="E675" s="234">
        <f t="shared" si="68"/>
        <v>14000</v>
      </c>
      <c r="F675" s="234">
        <f t="shared" si="69"/>
        <v>4200000</v>
      </c>
      <c r="G675" s="276"/>
      <c r="H675" s="884"/>
      <c r="I675" s="651"/>
      <c r="J675" s="884"/>
      <c r="W675" s="54"/>
      <c r="Y675" s="407"/>
      <c r="Z675" s="51"/>
    </row>
    <row r="676" spans="2:26">
      <c r="B676" s="848"/>
      <c r="C676" s="232" t="s">
        <v>224</v>
      </c>
      <c r="D676" s="327">
        <v>300</v>
      </c>
      <c r="E676" s="234">
        <f t="shared" si="68"/>
        <v>14000</v>
      </c>
      <c r="F676" s="234">
        <f t="shared" si="69"/>
        <v>4200000</v>
      </c>
      <c r="G676" s="276"/>
      <c r="H676" s="884"/>
      <c r="I676" s="651"/>
      <c r="J676" s="884"/>
      <c r="W676" s="54"/>
      <c r="Y676" s="407"/>
      <c r="Z676" s="51"/>
    </row>
    <row r="677" spans="2:26">
      <c r="B677" s="701"/>
      <c r="C677" s="232" t="s">
        <v>220</v>
      </c>
      <c r="D677" s="327">
        <v>520</v>
      </c>
      <c r="E677" s="234">
        <f t="shared" si="68"/>
        <v>27000</v>
      </c>
      <c r="F677" s="234">
        <f t="shared" si="69"/>
        <v>14040000</v>
      </c>
      <c r="G677" s="276"/>
      <c r="H677" s="884"/>
      <c r="I677" s="651"/>
      <c r="J677" s="884"/>
      <c r="W677" s="54"/>
      <c r="Y677" s="407"/>
      <c r="Z677" s="51"/>
    </row>
    <row r="678" spans="2:26">
      <c r="B678" s="422">
        <v>45373</v>
      </c>
      <c r="C678" s="232" t="s">
        <v>219</v>
      </c>
      <c r="D678" s="327">
        <v>720</v>
      </c>
      <c r="E678" s="234">
        <f t="shared" si="68"/>
        <v>46000</v>
      </c>
      <c r="F678" s="234">
        <f t="shared" si="69"/>
        <v>33120000</v>
      </c>
      <c r="G678" s="276"/>
      <c r="H678" s="885"/>
      <c r="I678" s="652"/>
      <c r="J678" s="885"/>
      <c r="W678" s="54"/>
      <c r="Y678" s="407"/>
      <c r="Z678" s="51"/>
    </row>
    <row r="679" spans="2:26">
      <c r="B679" s="299">
        <v>45374</v>
      </c>
      <c r="C679" s="300" t="s">
        <v>219</v>
      </c>
      <c r="D679" s="426">
        <v>720</v>
      </c>
      <c r="E679" s="302">
        <f t="shared" si="68"/>
        <v>46000</v>
      </c>
      <c r="F679" s="302">
        <f t="shared" si="69"/>
        <v>33120000</v>
      </c>
      <c r="G679" s="304"/>
      <c r="H679" s="889">
        <v>45397</v>
      </c>
      <c r="I679" s="886">
        <f>SUM(F679:F684)</f>
        <v>145360000</v>
      </c>
      <c r="J679" s="889"/>
      <c r="W679" s="54"/>
      <c r="Y679" s="407"/>
      <c r="Z679" s="51"/>
    </row>
    <row r="680" spans="2:26">
      <c r="B680" s="299">
        <v>45376</v>
      </c>
      <c r="C680" s="300" t="s">
        <v>219</v>
      </c>
      <c r="D680" s="426">
        <v>340</v>
      </c>
      <c r="E680" s="302">
        <f t="shared" si="68"/>
        <v>46000</v>
      </c>
      <c r="F680" s="302">
        <f t="shared" si="69"/>
        <v>15640000</v>
      </c>
      <c r="G680" s="304"/>
      <c r="H680" s="890"/>
      <c r="I680" s="887"/>
      <c r="J680" s="890"/>
      <c r="W680" s="54"/>
      <c r="Y680" s="413"/>
      <c r="Z680" s="51"/>
    </row>
    <row r="681" spans="2:26">
      <c r="B681" s="299">
        <v>45377</v>
      </c>
      <c r="C681" s="300" t="s">
        <v>219</v>
      </c>
      <c r="D681" s="426">
        <v>720</v>
      </c>
      <c r="E681" s="302">
        <f t="shared" si="68"/>
        <v>46000</v>
      </c>
      <c r="F681" s="302">
        <f t="shared" si="69"/>
        <v>33120000</v>
      </c>
      <c r="G681" s="304"/>
      <c r="H681" s="890"/>
      <c r="I681" s="887"/>
      <c r="J681" s="890"/>
      <c r="W681" s="54"/>
      <c r="Y681" s="413"/>
      <c r="Z681" s="51"/>
    </row>
    <row r="682" spans="2:26">
      <c r="B682" s="299">
        <v>45377</v>
      </c>
      <c r="C682" s="300" t="s">
        <v>219</v>
      </c>
      <c r="D682" s="426">
        <v>720</v>
      </c>
      <c r="E682" s="302">
        <f t="shared" si="68"/>
        <v>46000</v>
      </c>
      <c r="F682" s="302">
        <f t="shared" si="69"/>
        <v>33120000</v>
      </c>
      <c r="G682" s="304"/>
      <c r="H682" s="890"/>
      <c r="I682" s="887"/>
      <c r="J682" s="890"/>
      <c r="W682" s="54"/>
      <c r="Y682" s="409"/>
      <c r="Z682" s="51"/>
    </row>
    <row r="683" spans="2:26">
      <c r="B683" s="299">
        <v>45377</v>
      </c>
      <c r="C683" s="300" t="s">
        <v>219</v>
      </c>
      <c r="D683" s="426">
        <v>330</v>
      </c>
      <c r="E683" s="302">
        <f t="shared" si="68"/>
        <v>46000</v>
      </c>
      <c r="F683" s="302">
        <f t="shared" si="69"/>
        <v>15180000</v>
      </c>
      <c r="G683" s="304"/>
      <c r="H683" s="890"/>
      <c r="I683" s="887"/>
      <c r="J683" s="890"/>
      <c r="W683" s="54"/>
      <c r="Y683" s="409"/>
      <c r="Z683" s="51"/>
    </row>
    <row r="684" spans="2:26">
      <c r="B684" s="299">
        <v>45377</v>
      </c>
      <c r="C684" s="300" t="s">
        <v>219</v>
      </c>
      <c r="D684" s="426">
        <v>330</v>
      </c>
      <c r="E684" s="302">
        <f t="shared" si="68"/>
        <v>46000</v>
      </c>
      <c r="F684" s="302">
        <f t="shared" si="69"/>
        <v>15180000</v>
      </c>
      <c r="G684" s="304"/>
      <c r="H684" s="891"/>
      <c r="I684" s="888"/>
      <c r="J684" s="891"/>
      <c r="W684" s="54"/>
      <c r="Y684" s="409"/>
      <c r="Z684" s="51"/>
    </row>
    <row r="685" spans="2:26">
      <c r="B685" s="425">
        <v>45378</v>
      </c>
      <c r="C685" s="39" t="s">
        <v>219</v>
      </c>
      <c r="D685" s="323">
        <v>720</v>
      </c>
      <c r="E685" s="41">
        <f t="shared" si="68"/>
        <v>46000</v>
      </c>
      <c r="F685" s="41">
        <f t="shared" si="69"/>
        <v>33120000</v>
      </c>
      <c r="G685" s="43"/>
      <c r="H685" s="845">
        <v>45399</v>
      </c>
      <c r="I685" s="728">
        <f>SUM(F685:F688)</f>
        <v>81985000</v>
      </c>
      <c r="J685" s="732"/>
      <c r="W685" s="54"/>
      <c r="Y685" s="409"/>
      <c r="Z685" s="51"/>
    </row>
    <row r="686" spans="2:26">
      <c r="B686" s="425">
        <v>45379</v>
      </c>
      <c r="C686" s="39" t="s">
        <v>219</v>
      </c>
      <c r="D686" s="323">
        <v>340</v>
      </c>
      <c r="E686" s="41">
        <f t="shared" si="68"/>
        <v>46000</v>
      </c>
      <c r="F686" s="41">
        <f t="shared" si="69"/>
        <v>15640000</v>
      </c>
      <c r="G686" s="43"/>
      <c r="H686" s="846"/>
      <c r="I686" s="729"/>
      <c r="J686" s="733"/>
      <c r="W686" s="54"/>
      <c r="Y686" s="414"/>
      <c r="Z686" s="51"/>
    </row>
    <row r="687" spans="2:26">
      <c r="B687" s="702">
        <v>45379</v>
      </c>
      <c r="C687" s="39" t="s">
        <v>226</v>
      </c>
      <c r="D687" s="323">
        <v>30</v>
      </c>
      <c r="E687" s="41">
        <f t="shared" si="68"/>
        <v>95500</v>
      </c>
      <c r="F687" s="41">
        <f t="shared" si="69"/>
        <v>2865000</v>
      </c>
      <c r="G687" s="43"/>
      <c r="H687" s="846"/>
      <c r="I687" s="729"/>
      <c r="J687" s="733"/>
      <c r="W687" s="54"/>
      <c r="Y687" s="414"/>
      <c r="Z687" s="51"/>
    </row>
    <row r="688" spans="2:26">
      <c r="B688" s="704"/>
      <c r="C688" s="39" t="s">
        <v>219</v>
      </c>
      <c r="D688" s="323">
        <v>660</v>
      </c>
      <c r="E688" s="41">
        <f t="shared" si="68"/>
        <v>46000</v>
      </c>
      <c r="F688" s="41">
        <f t="shared" si="69"/>
        <v>30360000</v>
      </c>
      <c r="G688" s="43"/>
      <c r="H688" s="847"/>
      <c r="I688" s="730"/>
      <c r="J688" s="734"/>
      <c r="W688" s="54"/>
      <c r="Y688" s="414"/>
      <c r="Z688" s="51"/>
    </row>
    <row r="689" spans="2:26">
      <c r="B689" s="431">
        <v>45380</v>
      </c>
      <c r="C689" s="335" t="s">
        <v>219</v>
      </c>
      <c r="D689" s="336">
        <v>720</v>
      </c>
      <c r="E689" s="337">
        <f t="shared" si="68"/>
        <v>46000</v>
      </c>
      <c r="F689" s="337">
        <f t="shared" si="69"/>
        <v>33120000</v>
      </c>
      <c r="G689" s="339"/>
      <c r="H689" s="803">
        <v>45401</v>
      </c>
      <c r="I689" s="815">
        <f>SUM(F689:F691)</f>
        <v>64180000</v>
      </c>
      <c r="J689" s="803"/>
      <c r="W689" s="54"/>
      <c r="Y689" s="414"/>
      <c r="Z689" s="51"/>
    </row>
    <row r="690" spans="2:26">
      <c r="B690" s="897">
        <v>3</v>
      </c>
      <c r="C690" s="335" t="s">
        <v>219</v>
      </c>
      <c r="D690" s="336">
        <v>260</v>
      </c>
      <c r="E690" s="337">
        <f t="shared" si="68"/>
        <v>46000</v>
      </c>
      <c r="F690" s="337">
        <f t="shared" si="69"/>
        <v>11960000</v>
      </c>
      <c r="G690" s="339"/>
      <c r="H690" s="804"/>
      <c r="I690" s="816"/>
      <c r="J690" s="804"/>
      <c r="W690" s="54"/>
      <c r="Y690" s="417"/>
      <c r="Z690" s="51"/>
    </row>
    <row r="691" spans="2:26">
      <c r="B691" s="898"/>
      <c r="C691" s="335" t="s">
        <v>226</v>
      </c>
      <c r="D691" s="336">
        <v>200</v>
      </c>
      <c r="E691" s="337">
        <f t="shared" si="68"/>
        <v>95500</v>
      </c>
      <c r="F691" s="337">
        <f t="shared" si="69"/>
        <v>19100000</v>
      </c>
      <c r="G691" s="339"/>
      <c r="H691" s="805"/>
      <c r="I691" s="817"/>
      <c r="J691" s="805"/>
      <c r="W691" s="54"/>
      <c r="Y691" s="417"/>
      <c r="Z691" s="51"/>
    </row>
    <row r="692" spans="2:26">
      <c r="B692" s="429">
        <v>45385</v>
      </c>
      <c r="C692" s="191" t="s">
        <v>219</v>
      </c>
      <c r="D692" s="434">
        <v>720</v>
      </c>
      <c r="E692" s="193">
        <f t="shared" si="68"/>
        <v>46000</v>
      </c>
      <c r="F692" s="193">
        <f t="shared" si="69"/>
        <v>33120000</v>
      </c>
      <c r="G692" s="272"/>
      <c r="H692" s="1001">
        <v>45402</v>
      </c>
      <c r="I692" s="660">
        <f>SUM(F692:F693)</f>
        <v>66240000</v>
      </c>
      <c r="J692" s="1001"/>
      <c r="W692" s="54"/>
      <c r="Y692" s="418"/>
      <c r="Z692" s="51"/>
    </row>
    <row r="693" spans="2:26">
      <c r="B693" s="429">
        <v>45385</v>
      </c>
      <c r="C693" s="191" t="s">
        <v>219</v>
      </c>
      <c r="D693" s="434">
        <v>720</v>
      </c>
      <c r="E693" s="193">
        <f t="shared" si="68"/>
        <v>46000</v>
      </c>
      <c r="F693" s="193">
        <f t="shared" si="69"/>
        <v>33120000</v>
      </c>
      <c r="G693" s="272"/>
      <c r="H693" s="1002"/>
      <c r="I693" s="662"/>
      <c r="J693" s="1002"/>
      <c r="W693" s="54"/>
      <c r="Y693" s="418"/>
      <c r="Z693" s="51"/>
    </row>
    <row r="694" spans="2:26">
      <c r="B694" s="430">
        <v>45387</v>
      </c>
      <c r="C694" s="291" t="s">
        <v>219</v>
      </c>
      <c r="D694" s="435">
        <v>720</v>
      </c>
      <c r="E694" s="293">
        <f t="shared" si="68"/>
        <v>46000</v>
      </c>
      <c r="F694" s="293">
        <f t="shared" si="69"/>
        <v>33120000</v>
      </c>
      <c r="G694" s="295"/>
      <c r="H694" s="837">
        <v>45407</v>
      </c>
      <c r="I694" s="656">
        <f>SUM(F694:F698)</f>
        <v>65860000</v>
      </c>
      <c r="J694" s="671"/>
      <c r="W694" s="54"/>
      <c r="Y694" s="420"/>
      <c r="Z694" s="51"/>
    </row>
    <row r="695" spans="2:26">
      <c r="B695" s="430">
        <v>45387</v>
      </c>
      <c r="C695" s="291" t="s">
        <v>219</v>
      </c>
      <c r="D695" s="435">
        <v>350</v>
      </c>
      <c r="E695" s="293">
        <f t="shared" si="68"/>
        <v>46000</v>
      </c>
      <c r="F695" s="293">
        <f t="shared" si="69"/>
        <v>16100000</v>
      </c>
      <c r="G695" s="295"/>
      <c r="H695" s="838"/>
      <c r="I695" s="669"/>
      <c r="J695" s="672"/>
      <c r="W695" s="54"/>
      <c r="Y695" s="420"/>
      <c r="Z695" s="51"/>
    </row>
    <row r="696" spans="2:26">
      <c r="B696" s="696">
        <v>45388</v>
      </c>
      <c r="C696" s="291" t="s">
        <v>219</v>
      </c>
      <c r="D696" s="435">
        <v>240</v>
      </c>
      <c r="E696" s="293">
        <f t="shared" si="68"/>
        <v>46000</v>
      </c>
      <c r="F696" s="293">
        <f t="shared" si="69"/>
        <v>11040000</v>
      </c>
      <c r="G696" s="295"/>
      <c r="H696" s="838"/>
      <c r="I696" s="669"/>
      <c r="J696" s="672"/>
      <c r="W696" s="54"/>
      <c r="Y696" s="420"/>
      <c r="Z696" s="51"/>
    </row>
    <row r="697" spans="2:26">
      <c r="B697" s="739"/>
      <c r="C697" s="291" t="s">
        <v>222</v>
      </c>
      <c r="D697" s="435">
        <v>200</v>
      </c>
      <c r="E697" s="293">
        <f t="shared" si="68"/>
        <v>14000</v>
      </c>
      <c r="F697" s="293">
        <f t="shared" si="69"/>
        <v>2800000</v>
      </c>
      <c r="G697" s="295"/>
      <c r="H697" s="838"/>
      <c r="I697" s="669"/>
      <c r="J697" s="672"/>
      <c r="W697" s="54"/>
      <c r="Y697" s="420"/>
      <c r="Z697" s="51"/>
    </row>
    <row r="698" spans="2:26">
      <c r="B698" s="697"/>
      <c r="C698" s="291" t="s">
        <v>224</v>
      </c>
      <c r="D698" s="435">
        <v>200</v>
      </c>
      <c r="E698" s="293">
        <f t="shared" si="68"/>
        <v>14000</v>
      </c>
      <c r="F698" s="293">
        <f t="shared" si="69"/>
        <v>2800000</v>
      </c>
      <c r="G698" s="295"/>
      <c r="H698" s="839"/>
      <c r="I698" s="657"/>
      <c r="J698" s="673"/>
      <c r="W698" s="54"/>
      <c r="Y698" s="420"/>
      <c r="Z698" s="51"/>
    </row>
    <row r="699" spans="2:26">
      <c r="B699" s="433">
        <v>45394</v>
      </c>
      <c r="C699" s="335" t="s">
        <v>219</v>
      </c>
      <c r="D699" s="336">
        <v>320</v>
      </c>
      <c r="E699" s="337">
        <f t="shared" si="68"/>
        <v>46000</v>
      </c>
      <c r="F699" s="337">
        <f t="shared" si="69"/>
        <v>14720000</v>
      </c>
      <c r="G699" s="339"/>
      <c r="H699" s="803">
        <v>45388</v>
      </c>
      <c r="I699" s="815">
        <f>SUM(F699:F701)</f>
        <v>63480000</v>
      </c>
      <c r="J699" s="815"/>
      <c r="W699" s="54"/>
      <c r="Y699" s="420"/>
      <c r="Z699" s="51"/>
    </row>
    <row r="700" spans="2:26">
      <c r="B700" s="433">
        <v>45394</v>
      </c>
      <c r="C700" s="335" t="s">
        <v>219</v>
      </c>
      <c r="D700" s="336">
        <v>340</v>
      </c>
      <c r="E700" s="337">
        <f t="shared" si="68"/>
        <v>46000</v>
      </c>
      <c r="F700" s="337">
        <f t="shared" si="69"/>
        <v>15640000</v>
      </c>
      <c r="G700" s="339"/>
      <c r="H700" s="804"/>
      <c r="I700" s="816"/>
      <c r="J700" s="816"/>
      <c r="W700" s="54"/>
      <c r="Y700" s="420"/>
      <c r="Z700" s="51"/>
    </row>
    <row r="701" spans="2:26">
      <c r="B701" s="433">
        <v>45395</v>
      </c>
      <c r="C701" s="335" t="s">
        <v>219</v>
      </c>
      <c r="D701" s="336">
        <v>720</v>
      </c>
      <c r="E701" s="337">
        <f t="shared" si="68"/>
        <v>46000</v>
      </c>
      <c r="F701" s="337">
        <f t="shared" si="69"/>
        <v>33120000</v>
      </c>
      <c r="G701" s="339"/>
      <c r="H701" s="805"/>
      <c r="I701" s="817"/>
      <c r="J701" s="817"/>
      <c r="W701" s="54"/>
      <c r="Y701" s="418"/>
      <c r="Z701" s="51"/>
    </row>
    <row r="702" spans="2:26">
      <c r="B702" s="171">
        <v>45398</v>
      </c>
      <c r="C702" s="151" t="s">
        <v>219</v>
      </c>
      <c r="D702" s="437">
        <v>320</v>
      </c>
      <c r="E702" s="153">
        <f t="shared" si="68"/>
        <v>46000</v>
      </c>
      <c r="F702" s="153">
        <f t="shared" si="69"/>
        <v>14720000</v>
      </c>
      <c r="G702" s="271"/>
      <c r="H702" s="997">
        <v>45410</v>
      </c>
      <c r="I702" s="949">
        <f>F702+F703</f>
        <v>33580000</v>
      </c>
      <c r="J702" s="949"/>
      <c r="W702" s="54"/>
      <c r="Y702" s="418"/>
      <c r="Z702" s="51"/>
    </row>
    <row r="703" spans="2:26">
      <c r="B703" s="171">
        <v>45399</v>
      </c>
      <c r="C703" s="151" t="s">
        <v>219</v>
      </c>
      <c r="D703" s="437">
        <v>410</v>
      </c>
      <c r="E703" s="153">
        <f t="shared" ref="E703:E734" si="70">IFERROR(INDEX(daftar,MATCH(C703,nmdaftar,0),2),"-")</f>
        <v>46000</v>
      </c>
      <c r="F703" s="153">
        <f t="shared" ref="F703:F734" si="71">IF(E703="-","-",D703*E703)</f>
        <v>18860000</v>
      </c>
      <c r="G703" s="271"/>
      <c r="H703" s="998"/>
      <c r="I703" s="951"/>
      <c r="J703" s="951"/>
      <c r="W703" s="54"/>
      <c r="Y703" s="418"/>
      <c r="Z703" s="51"/>
    </row>
    <row r="704" spans="2:26">
      <c r="B704" s="441">
        <v>45400</v>
      </c>
      <c r="C704" s="335" t="s">
        <v>219</v>
      </c>
      <c r="D704" s="336">
        <v>720</v>
      </c>
      <c r="E704" s="337">
        <f t="shared" si="70"/>
        <v>46000</v>
      </c>
      <c r="F704" s="337">
        <f t="shared" si="71"/>
        <v>33120000</v>
      </c>
      <c r="G704" s="339"/>
      <c r="H704" s="803">
        <v>45414</v>
      </c>
      <c r="I704" s="815">
        <f>SUM(F704:F707)</f>
        <v>49980000</v>
      </c>
      <c r="J704" s="812"/>
      <c r="W704" s="54"/>
      <c r="Y704" s="427"/>
      <c r="Z704" s="51"/>
    </row>
    <row r="705" spans="2:26">
      <c r="B705" s="441">
        <v>45400</v>
      </c>
      <c r="C705" s="335" t="s">
        <v>219</v>
      </c>
      <c r="D705" s="336">
        <v>330</v>
      </c>
      <c r="E705" s="337">
        <f t="shared" si="70"/>
        <v>46000</v>
      </c>
      <c r="F705" s="337">
        <f t="shared" si="71"/>
        <v>15180000</v>
      </c>
      <c r="G705" s="339"/>
      <c r="H705" s="804"/>
      <c r="I705" s="816"/>
      <c r="J705" s="813"/>
      <c r="W705" s="54"/>
      <c r="Y705" s="427"/>
      <c r="Z705" s="51"/>
    </row>
    <row r="706" spans="2:26">
      <c r="B706" s="897">
        <v>45400</v>
      </c>
      <c r="C706" s="335" t="s">
        <v>222</v>
      </c>
      <c r="D706" s="336">
        <v>100</v>
      </c>
      <c r="E706" s="337">
        <f t="shared" si="70"/>
        <v>14000</v>
      </c>
      <c r="F706" s="337">
        <f t="shared" si="71"/>
        <v>1400000</v>
      </c>
      <c r="G706" s="339"/>
      <c r="H706" s="804"/>
      <c r="I706" s="816"/>
      <c r="J706" s="813"/>
      <c r="W706" s="54"/>
      <c r="Y706" s="428"/>
      <c r="Z706" s="51"/>
    </row>
    <row r="707" spans="2:26">
      <c r="B707" s="993"/>
      <c r="C707" s="335" t="s">
        <v>224</v>
      </c>
      <c r="D707" s="336">
        <v>20</v>
      </c>
      <c r="E707" s="337">
        <f t="shared" si="70"/>
        <v>14000</v>
      </c>
      <c r="F707" s="337">
        <f t="shared" si="71"/>
        <v>280000</v>
      </c>
      <c r="G707" s="339"/>
      <c r="H707" s="805"/>
      <c r="I707" s="817"/>
      <c r="J707" s="814"/>
      <c r="W707" s="54"/>
      <c r="Y707" s="428"/>
      <c r="Z707" s="51"/>
    </row>
    <row r="708" spans="2:26">
      <c r="B708" s="702">
        <v>45401</v>
      </c>
      <c r="C708" s="39" t="s">
        <v>222</v>
      </c>
      <c r="D708" s="323">
        <v>500</v>
      </c>
      <c r="E708" s="41">
        <f t="shared" si="70"/>
        <v>14000</v>
      </c>
      <c r="F708" s="41">
        <f t="shared" si="71"/>
        <v>7000000</v>
      </c>
      <c r="G708" s="43"/>
      <c r="H708" s="845">
        <v>45418</v>
      </c>
      <c r="I708" s="728">
        <f>SUM(F708:F715)</f>
        <v>102820000</v>
      </c>
      <c r="J708" s="732"/>
      <c r="W708" s="54"/>
      <c r="Y708" s="428"/>
      <c r="Z708" s="51"/>
    </row>
    <row r="709" spans="2:26">
      <c r="B709" s="703"/>
      <c r="C709" s="39" t="s">
        <v>224</v>
      </c>
      <c r="D709" s="323">
        <v>300</v>
      </c>
      <c r="E709" s="41">
        <f t="shared" si="70"/>
        <v>14000</v>
      </c>
      <c r="F709" s="41">
        <f t="shared" si="71"/>
        <v>4200000</v>
      </c>
      <c r="G709" s="43"/>
      <c r="H709" s="846"/>
      <c r="I709" s="729"/>
      <c r="J709" s="733"/>
      <c r="W709" s="54"/>
      <c r="Y709" s="428"/>
      <c r="Z709" s="51"/>
    </row>
    <row r="710" spans="2:26">
      <c r="B710" s="704"/>
      <c r="C710" s="39" t="s">
        <v>219</v>
      </c>
      <c r="D710" s="323">
        <v>200</v>
      </c>
      <c r="E710" s="41">
        <f t="shared" si="70"/>
        <v>46000</v>
      </c>
      <c r="F710" s="41">
        <f t="shared" si="71"/>
        <v>9200000</v>
      </c>
      <c r="G710" s="43"/>
      <c r="H710" s="846"/>
      <c r="I710" s="729"/>
      <c r="J710" s="733"/>
      <c r="W710" s="54"/>
      <c r="Y710" s="428"/>
      <c r="Z710" s="51"/>
    </row>
    <row r="711" spans="2:26">
      <c r="B711" s="440">
        <v>45401</v>
      </c>
      <c r="C711" s="39" t="s">
        <v>219</v>
      </c>
      <c r="D711" s="323">
        <v>720</v>
      </c>
      <c r="E711" s="41">
        <f t="shared" si="70"/>
        <v>46000</v>
      </c>
      <c r="F711" s="41">
        <f t="shared" si="71"/>
        <v>33120000</v>
      </c>
      <c r="G711" s="43"/>
      <c r="H711" s="846"/>
      <c r="I711" s="729"/>
      <c r="J711" s="733"/>
      <c r="W711" s="54"/>
      <c r="Y711" s="428"/>
      <c r="Z711" s="51"/>
    </row>
    <row r="712" spans="2:26">
      <c r="B712" s="702">
        <v>45404</v>
      </c>
      <c r="C712" s="39" t="s">
        <v>222</v>
      </c>
      <c r="D712" s="323">
        <v>300</v>
      </c>
      <c r="E712" s="41">
        <f t="shared" si="70"/>
        <v>14000</v>
      </c>
      <c r="F712" s="41">
        <f t="shared" si="71"/>
        <v>4200000</v>
      </c>
      <c r="G712" s="43"/>
      <c r="H712" s="846"/>
      <c r="I712" s="729"/>
      <c r="J712" s="733"/>
      <c r="W712" s="54"/>
      <c r="Y712" s="428"/>
      <c r="Z712" s="51"/>
    </row>
    <row r="713" spans="2:26">
      <c r="B713" s="703"/>
      <c r="C713" s="39" t="s">
        <v>224</v>
      </c>
      <c r="D713" s="323">
        <v>100</v>
      </c>
      <c r="E713" s="41">
        <f t="shared" si="70"/>
        <v>14000</v>
      </c>
      <c r="F713" s="41">
        <f t="shared" si="71"/>
        <v>1400000</v>
      </c>
      <c r="G713" s="43"/>
      <c r="H713" s="846"/>
      <c r="I713" s="729"/>
      <c r="J713" s="733"/>
      <c r="W713" s="54"/>
      <c r="Y713" s="428"/>
      <c r="Z713" s="51"/>
    </row>
    <row r="714" spans="2:26">
      <c r="B714" s="704"/>
      <c r="C714" s="39" t="s">
        <v>219</v>
      </c>
      <c r="D714" s="323">
        <v>230</v>
      </c>
      <c r="E714" s="41">
        <f t="shared" si="70"/>
        <v>46000</v>
      </c>
      <c r="F714" s="41">
        <f t="shared" si="71"/>
        <v>10580000</v>
      </c>
      <c r="G714" s="43"/>
      <c r="H714" s="846"/>
      <c r="I714" s="729"/>
      <c r="J714" s="733"/>
      <c r="W714" s="54"/>
      <c r="Y714" s="428"/>
      <c r="Z714" s="51"/>
    </row>
    <row r="715" spans="2:26">
      <c r="B715" s="440">
        <v>45405</v>
      </c>
      <c r="C715" s="39" t="s">
        <v>219</v>
      </c>
      <c r="D715" s="323">
        <v>720</v>
      </c>
      <c r="E715" s="41">
        <f t="shared" si="70"/>
        <v>46000</v>
      </c>
      <c r="F715" s="41">
        <f t="shared" si="71"/>
        <v>33120000</v>
      </c>
      <c r="G715" s="43"/>
      <c r="H715" s="847"/>
      <c r="I715" s="730"/>
      <c r="J715" s="734"/>
      <c r="W715" s="54"/>
      <c r="Y715" s="428"/>
      <c r="Z715" s="51"/>
    </row>
    <row r="716" spans="2:26">
      <c r="B716" s="444">
        <v>45407</v>
      </c>
      <c r="C716" s="445" t="s">
        <v>219</v>
      </c>
      <c r="D716" s="446">
        <v>720</v>
      </c>
      <c r="E716" s="447">
        <f t="shared" si="70"/>
        <v>46000</v>
      </c>
      <c r="F716" s="447">
        <f t="shared" si="71"/>
        <v>33120000</v>
      </c>
      <c r="G716" s="448"/>
      <c r="H716" s="818">
        <v>45423</v>
      </c>
      <c r="I716" s="820">
        <f>SUM(F716:F717)</f>
        <v>66240000</v>
      </c>
      <c r="J716" s="840"/>
      <c r="W716" s="54"/>
      <c r="Y716" s="428"/>
      <c r="Z716" s="51"/>
    </row>
    <row r="717" spans="2:26">
      <c r="B717" s="444">
        <v>45409</v>
      </c>
      <c r="C717" s="445" t="s">
        <v>219</v>
      </c>
      <c r="D717" s="446">
        <v>720</v>
      </c>
      <c r="E717" s="447">
        <f t="shared" si="70"/>
        <v>46000</v>
      </c>
      <c r="F717" s="447">
        <f t="shared" si="71"/>
        <v>33120000</v>
      </c>
      <c r="G717" s="448"/>
      <c r="H717" s="819"/>
      <c r="I717" s="821"/>
      <c r="J717" s="841"/>
      <c r="W717" s="54"/>
      <c r="Y717" s="432"/>
      <c r="Z717" s="51"/>
    </row>
    <row r="718" spans="2:26">
      <c r="B718" s="443">
        <v>45412</v>
      </c>
      <c r="C718" s="39" t="s">
        <v>219</v>
      </c>
      <c r="D718" s="323">
        <v>720</v>
      </c>
      <c r="E718" s="41">
        <f t="shared" si="70"/>
        <v>46000</v>
      </c>
      <c r="F718" s="41">
        <f t="shared" si="71"/>
        <v>33120000</v>
      </c>
      <c r="G718" s="43"/>
      <c r="H718" s="845">
        <v>45427</v>
      </c>
      <c r="I718" s="728">
        <f>SUM(F718:F724)</f>
        <v>100126000</v>
      </c>
      <c r="J718" s="728"/>
      <c r="W718" s="54"/>
      <c r="Y718" s="432"/>
      <c r="Z718" s="51"/>
    </row>
    <row r="719" spans="2:26">
      <c r="B719" s="443">
        <v>45412</v>
      </c>
      <c r="C719" s="39" t="s">
        <v>219</v>
      </c>
      <c r="D719" s="323">
        <v>325</v>
      </c>
      <c r="E719" s="41">
        <f t="shared" si="70"/>
        <v>46000</v>
      </c>
      <c r="F719" s="41">
        <f t="shared" si="71"/>
        <v>14950000</v>
      </c>
      <c r="G719" s="43"/>
      <c r="H719" s="846"/>
      <c r="I719" s="729"/>
      <c r="J719" s="729"/>
      <c r="W719" s="54"/>
      <c r="Y719" s="432"/>
      <c r="Z719" s="51"/>
    </row>
    <row r="720" spans="2:26">
      <c r="B720" s="443">
        <v>45413</v>
      </c>
      <c r="C720" s="39" t="s">
        <v>219</v>
      </c>
      <c r="D720" s="323">
        <v>720</v>
      </c>
      <c r="E720" s="41">
        <f t="shared" si="70"/>
        <v>46000</v>
      </c>
      <c r="F720" s="41">
        <f t="shared" si="71"/>
        <v>33120000</v>
      </c>
      <c r="G720" s="43"/>
      <c r="H720" s="846"/>
      <c r="I720" s="729"/>
      <c r="J720" s="729"/>
      <c r="W720" s="54"/>
      <c r="Y720" s="432"/>
      <c r="Z720" s="51"/>
    </row>
    <row r="721" spans="2:26">
      <c r="B721" s="702">
        <v>45414</v>
      </c>
      <c r="C721" s="39" t="s">
        <v>219</v>
      </c>
      <c r="D721" s="323">
        <v>110</v>
      </c>
      <c r="E721" s="41">
        <f t="shared" si="70"/>
        <v>46000</v>
      </c>
      <c r="F721" s="41">
        <f t="shared" si="71"/>
        <v>5060000</v>
      </c>
      <c r="G721" s="43"/>
      <c r="H721" s="846"/>
      <c r="I721" s="729"/>
      <c r="J721" s="729"/>
      <c r="W721" s="54"/>
      <c r="Y721" s="436"/>
      <c r="Z721" s="51"/>
    </row>
    <row r="722" spans="2:26">
      <c r="B722" s="703"/>
      <c r="C722" s="39" t="s">
        <v>222</v>
      </c>
      <c r="D722" s="323">
        <v>200</v>
      </c>
      <c r="E722" s="41">
        <f t="shared" si="70"/>
        <v>14000</v>
      </c>
      <c r="F722" s="41">
        <f t="shared" si="71"/>
        <v>2800000</v>
      </c>
      <c r="G722" s="43"/>
      <c r="H722" s="846"/>
      <c r="I722" s="729"/>
      <c r="J722" s="729"/>
      <c r="W722" s="54"/>
      <c r="Y722" s="438"/>
      <c r="Z722" s="51"/>
    </row>
    <row r="723" spans="2:26">
      <c r="B723" s="703"/>
      <c r="C723" s="39" t="s">
        <v>224</v>
      </c>
      <c r="D723" s="323">
        <v>300</v>
      </c>
      <c r="E723" s="41">
        <f t="shared" si="70"/>
        <v>14000</v>
      </c>
      <c r="F723" s="41">
        <f t="shared" si="71"/>
        <v>4200000</v>
      </c>
      <c r="G723" s="43"/>
      <c r="H723" s="846"/>
      <c r="I723" s="729"/>
      <c r="J723" s="729"/>
      <c r="W723" s="54"/>
      <c r="Y723" s="436"/>
      <c r="Z723" s="51"/>
    </row>
    <row r="724" spans="2:26">
      <c r="B724" s="704"/>
      <c r="C724" s="39" t="s">
        <v>226</v>
      </c>
      <c r="D724" s="323">
        <v>72</v>
      </c>
      <c r="E724" s="41">
        <f t="shared" si="70"/>
        <v>95500</v>
      </c>
      <c r="F724" s="41">
        <f t="shared" si="71"/>
        <v>6876000</v>
      </c>
      <c r="G724" s="43"/>
      <c r="H724" s="847"/>
      <c r="I724" s="730"/>
      <c r="J724" s="730"/>
      <c r="W724" s="54"/>
      <c r="Y724" s="436"/>
      <c r="Z724" s="51"/>
    </row>
    <row r="725" spans="2:26">
      <c r="B725" s="453">
        <v>45416</v>
      </c>
      <c r="C725" s="454" t="s">
        <v>219</v>
      </c>
      <c r="D725" s="455">
        <v>300</v>
      </c>
      <c r="E725" s="456">
        <f t="shared" si="70"/>
        <v>46000</v>
      </c>
      <c r="F725" s="456">
        <f t="shared" si="71"/>
        <v>13800000</v>
      </c>
      <c r="G725" s="457"/>
      <c r="H725" s="834">
        <v>45432</v>
      </c>
      <c r="I725" s="831">
        <f>SUM(F725:F727)</f>
        <v>61640000</v>
      </c>
      <c r="J725" s="822"/>
      <c r="W725" s="54"/>
      <c r="Y725" s="436"/>
      <c r="Z725" s="51"/>
    </row>
    <row r="726" spans="2:26">
      <c r="B726" s="453">
        <v>45416</v>
      </c>
      <c r="C726" s="454" t="s">
        <v>219</v>
      </c>
      <c r="D726" s="455">
        <v>320</v>
      </c>
      <c r="E726" s="456">
        <f t="shared" si="70"/>
        <v>46000</v>
      </c>
      <c r="F726" s="456">
        <f t="shared" si="71"/>
        <v>14720000</v>
      </c>
      <c r="G726" s="457"/>
      <c r="H726" s="835"/>
      <c r="I726" s="832"/>
      <c r="J726" s="823"/>
      <c r="W726" s="54"/>
      <c r="Y726" s="436"/>
      <c r="Z726" s="51"/>
    </row>
    <row r="727" spans="2:26">
      <c r="B727" s="453">
        <v>45418</v>
      </c>
      <c r="C727" s="454" t="s">
        <v>219</v>
      </c>
      <c r="D727" s="455">
        <v>720</v>
      </c>
      <c r="E727" s="456">
        <f t="shared" si="70"/>
        <v>46000</v>
      </c>
      <c r="F727" s="456">
        <f t="shared" si="71"/>
        <v>33120000</v>
      </c>
      <c r="G727" s="457"/>
      <c r="H727" s="836"/>
      <c r="I727" s="833"/>
      <c r="J727" s="824"/>
      <c r="W727" s="54"/>
      <c r="Y727" s="436"/>
      <c r="Z727" s="51"/>
    </row>
    <row r="728" spans="2:26">
      <c r="B728" s="452">
        <v>45419</v>
      </c>
      <c r="C728" s="39" t="s">
        <v>219</v>
      </c>
      <c r="D728" s="323">
        <v>720</v>
      </c>
      <c r="E728" s="41">
        <f t="shared" si="70"/>
        <v>46000</v>
      </c>
      <c r="F728" s="41">
        <f t="shared" si="71"/>
        <v>33120000</v>
      </c>
      <c r="G728" s="43"/>
      <c r="H728" s="710">
        <v>45439</v>
      </c>
      <c r="I728" s="728">
        <f>SUM(F728:F733)</f>
        <v>67837500</v>
      </c>
      <c r="J728" s="825"/>
      <c r="W728" s="54"/>
      <c r="Y728" s="439"/>
      <c r="Z728" s="51"/>
    </row>
    <row r="729" spans="2:26">
      <c r="B729" s="452">
        <v>45421</v>
      </c>
      <c r="C729" s="39" t="s">
        <v>219</v>
      </c>
      <c r="D729" s="323">
        <v>330</v>
      </c>
      <c r="E729" s="41">
        <f t="shared" si="70"/>
        <v>46000</v>
      </c>
      <c r="F729" s="41">
        <f t="shared" si="71"/>
        <v>15180000</v>
      </c>
      <c r="G729" s="43"/>
      <c r="H729" s="731"/>
      <c r="I729" s="729"/>
      <c r="J729" s="826"/>
      <c r="W729" s="54"/>
      <c r="Y729" s="439"/>
      <c r="Z729" s="51"/>
    </row>
    <row r="730" spans="2:26">
      <c r="B730" s="702">
        <v>45421</v>
      </c>
      <c r="C730" s="39" t="s">
        <v>222</v>
      </c>
      <c r="D730" s="323">
        <v>200</v>
      </c>
      <c r="E730" s="41">
        <f t="shared" si="70"/>
        <v>14000</v>
      </c>
      <c r="F730" s="41">
        <f t="shared" si="71"/>
        <v>2800000</v>
      </c>
      <c r="G730" s="43"/>
      <c r="H730" s="731"/>
      <c r="I730" s="729"/>
      <c r="J730" s="826"/>
      <c r="W730" s="54"/>
      <c r="Y730" s="439"/>
      <c r="Z730" s="51"/>
    </row>
    <row r="731" spans="2:26">
      <c r="B731" s="703"/>
      <c r="C731" s="39" t="s">
        <v>224</v>
      </c>
      <c r="D731" s="323">
        <v>100</v>
      </c>
      <c r="E731" s="41">
        <f t="shared" si="70"/>
        <v>14000</v>
      </c>
      <c r="F731" s="41">
        <f t="shared" si="71"/>
        <v>1400000</v>
      </c>
      <c r="G731" s="43"/>
      <c r="H731" s="731"/>
      <c r="I731" s="729"/>
      <c r="J731" s="826"/>
      <c r="W731" s="54"/>
      <c r="Y731" s="439"/>
      <c r="Z731" s="51"/>
    </row>
    <row r="732" spans="2:26">
      <c r="B732" s="703"/>
      <c r="C732" s="39" t="s">
        <v>226</v>
      </c>
      <c r="D732" s="323">
        <v>45</v>
      </c>
      <c r="E732" s="41">
        <f t="shared" si="70"/>
        <v>95500</v>
      </c>
      <c r="F732" s="41">
        <f t="shared" si="71"/>
        <v>4297500</v>
      </c>
      <c r="G732" s="43"/>
      <c r="H732" s="731"/>
      <c r="I732" s="729"/>
      <c r="J732" s="826"/>
      <c r="W732" s="54"/>
      <c r="Y732" s="439"/>
      <c r="Z732" s="51"/>
    </row>
    <row r="733" spans="2:26">
      <c r="B733" s="704"/>
      <c r="C733" s="39" t="s">
        <v>219</v>
      </c>
      <c r="D733" s="323">
        <v>240</v>
      </c>
      <c r="E733" s="41">
        <f t="shared" si="70"/>
        <v>46000</v>
      </c>
      <c r="F733" s="41">
        <f t="shared" si="71"/>
        <v>11040000</v>
      </c>
      <c r="G733" s="43"/>
      <c r="H733" s="711"/>
      <c r="I733" s="730"/>
      <c r="J733" s="827"/>
      <c r="W733" s="54"/>
      <c r="Y733" s="439"/>
      <c r="Z733" s="51"/>
    </row>
    <row r="734" spans="2:26">
      <c r="B734" s="459">
        <v>45423</v>
      </c>
      <c r="C734" s="232" t="s">
        <v>219</v>
      </c>
      <c r="D734" s="327">
        <v>720</v>
      </c>
      <c r="E734" s="234">
        <f t="shared" si="70"/>
        <v>46000</v>
      </c>
      <c r="F734" s="234">
        <f t="shared" si="71"/>
        <v>33120000</v>
      </c>
      <c r="G734" s="276"/>
      <c r="H734" s="653">
        <v>45446</v>
      </c>
      <c r="I734" s="650">
        <f>SUM(F734:F737)</f>
        <v>69553000</v>
      </c>
      <c r="J734" s="674"/>
      <c r="W734" s="54"/>
      <c r="Y734" s="439"/>
      <c r="Z734" s="51"/>
    </row>
    <row r="735" spans="2:26">
      <c r="B735" s="700">
        <v>45423</v>
      </c>
      <c r="C735" s="232" t="s">
        <v>220</v>
      </c>
      <c r="D735" s="327">
        <v>379</v>
      </c>
      <c r="E735" s="234">
        <f t="shared" ref="E735:E758" si="72">IFERROR(INDEX(daftar,MATCH(C735,nmdaftar,0),2),"-")</f>
        <v>27000</v>
      </c>
      <c r="F735" s="234">
        <f t="shared" ref="F735:F764" si="73">IF(E735="-","-",D735*E735)</f>
        <v>10233000</v>
      </c>
      <c r="G735" s="276"/>
      <c r="H735" s="654"/>
      <c r="I735" s="651"/>
      <c r="J735" s="752"/>
      <c r="W735" s="54"/>
      <c r="Y735" s="439"/>
      <c r="Z735" s="51"/>
    </row>
    <row r="736" spans="2:26">
      <c r="B736" s="848"/>
      <c r="C736" s="232" t="s">
        <v>226</v>
      </c>
      <c r="D736" s="327">
        <v>60</v>
      </c>
      <c r="E736" s="234">
        <f t="shared" si="72"/>
        <v>95500</v>
      </c>
      <c r="F736" s="234">
        <f t="shared" si="73"/>
        <v>5730000</v>
      </c>
      <c r="G736" s="276"/>
      <c r="H736" s="654"/>
      <c r="I736" s="651"/>
      <c r="J736" s="752"/>
      <c r="W736" s="54"/>
      <c r="Y736" s="439"/>
      <c r="Z736" s="51"/>
    </row>
    <row r="737" spans="2:26">
      <c r="B737" s="701"/>
      <c r="C737" s="232" t="s">
        <v>219</v>
      </c>
      <c r="D737" s="327">
        <v>445</v>
      </c>
      <c r="E737" s="234">
        <f t="shared" si="72"/>
        <v>46000</v>
      </c>
      <c r="F737" s="234">
        <f t="shared" si="73"/>
        <v>20470000</v>
      </c>
      <c r="G737" s="276"/>
      <c r="H737" s="655"/>
      <c r="I737" s="652"/>
      <c r="J737" s="675"/>
      <c r="W737" s="54"/>
      <c r="Y737" s="439"/>
      <c r="Z737" s="51"/>
    </row>
    <row r="738" spans="2:26">
      <c r="B738" s="462">
        <v>45425</v>
      </c>
      <c r="C738" s="335" t="s">
        <v>219</v>
      </c>
      <c r="D738" s="336">
        <v>350</v>
      </c>
      <c r="E738" s="337">
        <f t="shared" si="72"/>
        <v>46000</v>
      </c>
      <c r="F738" s="337">
        <f t="shared" si="73"/>
        <v>16100000</v>
      </c>
      <c r="G738" s="339"/>
      <c r="H738" s="828">
        <v>45453</v>
      </c>
      <c r="I738" s="815">
        <f>SUM(F738:F744)</f>
        <v>116730000</v>
      </c>
      <c r="J738" s="812"/>
      <c r="W738" s="54"/>
      <c r="Y738" s="442"/>
      <c r="Z738" s="51"/>
    </row>
    <row r="739" spans="2:26">
      <c r="B739" s="462">
        <v>45427</v>
      </c>
      <c r="C739" s="335" t="s">
        <v>219</v>
      </c>
      <c r="D739" s="336">
        <v>720</v>
      </c>
      <c r="E739" s="337">
        <f t="shared" si="72"/>
        <v>46000</v>
      </c>
      <c r="F739" s="337">
        <f t="shared" si="73"/>
        <v>33120000</v>
      </c>
      <c r="G739" s="339"/>
      <c r="H739" s="829"/>
      <c r="I739" s="816"/>
      <c r="J739" s="813"/>
      <c r="W739" s="54"/>
      <c r="Y739" s="442"/>
      <c r="Z739" s="51"/>
    </row>
    <row r="740" spans="2:26">
      <c r="B740" s="462">
        <v>45428</v>
      </c>
      <c r="C740" s="335" t="s">
        <v>219</v>
      </c>
      <c r="D740" s="336">
        <v>720</v>
      </c>
      <c r="E740" s="337">
        <f t="shared" si="72"/>
        <v>46000</v>
      </c>
      <c r="F740" s="337">
        <f t="shared" si="73"/>
        <v>33120000</v>
      </c>
      <c r="G740" s="339"/>
      <c r="H740" s="829"/>
      <c r="I740" s="816"/>
      <c r="J740" s="813"/>
      <c r="W740" s="54"/>
      <c r="Y740" s="449"/>
      <c r="Z740" s="51"/>
    </row>
    <row r="741" spans="2:26">
      <c r="B741" s="897">
        <v>45429</v>
      </c>
      <c r="C741" s="335" t="s">
        <v>222</v>
      </c>
      <c r="D741" s="336">
        <v>300</v>
      </c>
      <c r="E741" s="337">
        <f t="shared" si="72"/>
        <v>14000</v>
      </c>
      <c r="F741" s="337">
        <f t="shared" si="73"/>
        <v>4200000</v>
      </c>
      <c r="G741" s="339"/>
      <c r="H741" s="829"/>
      <c r="I741" s="816"/>
      <c r="J741" s="813"/>
      <c r="W741" s="54"/>
      <c r="Y741" s="449"/>
      <c r="Z741" s="51"/>
    </row>
    <row r="742" spans="2:26">
      <c r="B742" s="993"/>
      <c r="C742" s="335" t="s">
        <v>224</v>
      </c>
      <c r="D742" s="336">
        <v>300</v>
      </c>
      <c r="E742" s="337">
        <f t="shared" si="72"/>
        <v>14000</v>
      </c>
      <c r="F742" s="337">
        <f t="shared" si="73"/>
        <v>4200000</v>
      </c>
      <c r="G742" s="339"/>
      <c r="H742" s="829"/>
      <c r="I742" s="816"/>
      <c r="J742" s="813"/>
      <c r="W742" s="54"/>
      <c r="Y742" s="449"/>
      <c r="Z742" s="51"/>
    </row>
    <row r="743" spans="2:26">
      <c r="B743" s="898"/>
      <c r="C743" s="335" t="s">
        <v>219</v>
      </c>
      <c r="D743" s="336">
        <v>230</v>
      </c>
      <c r="E743" s="337">
        <f t="shared" si="72"/>
        <v>46000</v>
      </c>
      <c r="F743" s="337">
        <f t="shared" si="73"/>
        <v>10580000</v>
      </c>
      <c r="G743" s="339"/>
      <c r="H743" s="829"/>
      <c r="I743" s="816"/>
      <c r="J743" s="813"/>
      <c r="W743" s="54"/>
      <c r="Y743" s="449"/>
      <c r="Z743" s="51"/>
    </row>
    <row r="744" spans="2:26">
      <c r="B744" s="462">
        <v>45430</v>
      </c>
      <c r="C744" s="335" t="s">
        <v>219</v>
      </c>
      <c r="D744" s="336">
        <v>335</v>
      </c>
      <c r="E744" s="337">
        <f t="shared" si="72"/>
        <v>46000</v>
      </c>
      <c r="F744" s="337">
        <f t="shared" si="73"/>
        <v>15410000</v>
      </c>
      <c r="G744" s="339"/>
      <c r="H744" s="830"/>
      <c r="I744" s="817"/>
      <c r="J744" s="814"/>
      <c r="W744" s="54"/>
      <c r="Y744" s="449"/>
      <c r="Z744" s="51"/>
    </row>
    <row r="745" spans="2:26">
      <c r="B745" s="466">
        <v>45433</v>
      </c>
      <c r="C745" s="39" t="s">
        <v>219</v>
      </c>
      <c r="D745" s="323">
        <v>335</v>
      </c>
      <c r="E745" s="41">
        <f t="shared" si="72"/>
        <v>46000</v>
      </c>
      <c r="F745" s="41">
        <f t="shared" si="73"/>
        <v>15410000</v>
      </c>
      <c r="G745" s="43"/>
      <c r="H745" s="710"/>
      <c r="I745" s="728">
        <f>SUM(F745:F747)</f>
        <v>46690000</v>
      </c>
      <c r="J745" s="732"/>
      <c r="W745" s="54"/>
      <c r="Y745" s="449"/>
      <c r="Z745" s="51"/>
    </row>
    <row r="746" spans="2:26">
      <c r="B746" s="466">
        <v>45434</v>
      </c>
      <c r="C746" s="39" t="s">
        <v>219</v>
      </c>
      <c r="D746" s="323">
        <v>360</v>
      </c>
      <c r="E746" s="41">
        <f t="shared" si="72"/>
        <v>46000</v>
      </c>
      <c r="F746" s="41">
        <f t="shared" si="73"/>
        <v>16560000</v>
      </c>
      <c r="G746" s="43"/>
      <c r="H746" s="731"/>
      <c r="I746" s="729"/>
      <c r="J746" s="733"/>
      <c r="W746" s="54"/>
      <c r="Y746" s="449"/>
      <c r="Z746" s="51"/>
    </row>
    <row r="747" spans="2:26">
      <c r="B747" s="466">
        <v>45435</v>
      </c>
      <c r="C747" s="39" t="s">
        <v>219</v>
      </c>
      <c r="D747" s="323">
        <v>320</v>
      </c>
      <c r="E747" s="41">
        <f t="shared" si="72"/>
        <v>46000</v>
      </c>
      <c r="F747" s="41">
        <f t="shared" si="73"/>
        <v>14720000</v>
      </c>
      <c r="G747" s="43"/>
      <c r="H747" s="711"/>
      <c r="I747" s="730"/>
      <c r="J747" s="734"/>
      <c r="W747" s="54"/>
      <c r="Y747" s="449"/>
      <c r="Z747" s="51"/>
    </row>
    <row r="748" spans="2:26">
      <c r="B748" s="700">
        <v>45436</v>
      </c>
      <c r="C748" s="232" t="s">
        <v>222</v>
      </c>
      <c r="D748" s="327">
        <v>600</v>
      </c>
      <c r="E748" s="234">
        <f t="shared" si="72"/>
        <v>14000</v>
      </c>
      <c r="F748" s="234">
        <f t="shared" si="73"/>
        <v>8400000</v>
      </c>
      <c r="G748" s="276"/>
      <c r="H748" s="653"/>
      <c r="I748" s="650">
        <f>SUM(F748:F751)</f>
        <v>66590000</v>
      </c>
      <c r="J748" s="467"/>
      <c r="W748" s="54"/>
      <c r="Y748" s="458"/>
      <c r="Z748" s="51"/>
    </row>
    <row r="749" spans="2:26">
      <c r="B749" s="701"/>
      <c r="C749" s="232" t="s">
        <v>219</v>
      </c>
      <c r="D749" s="327">
        <v>210</v>
      </c>
      <c r="E749" s="234">
        <f t="shared" si="72"/>
        <v>46000</v>
      </c>
      <c r="F749" s="234">
        <f t="shared" si="73"/>
        <v>9660000</v>
      </c>
      <c r="G749" s="276"/>
      <c r="H749" s="654"/>
      <c r="I749" s="651"/>
      <c r="J749" s="467"/>
      <c r="W749" s="54"/>
      <c r="Y749" s="451"/>
      <c r="Z749" s="51"/>
    </row>
    <row r="750" spans="2:26">
      <c r="B750" s="468">
        <v>45437</v>
      </c>
      <c r="C750" s="232" t="s">
        <v>219</v>
      </c>
      <c r="D750" s="327">
        <v>335</v>
      </c>
      <c r="E750" s="234">
        <f t="shared" si="72"/>
        <v>46000</v>
      </c>
      <c r="F750" s="234">
        <f t="shared" si="73"/>
        <v>15410000</v>
      </c>
      <c r="G750" s="276"/>
      <c r="H750" s="654"/>
      <c r="I750" s="651"/>
      <c r="J750" s="467"/>
      <c r="W750" s="54"/>
      <c r="Y750" s="451"/>
      <c r="Z750" s="51"/>
    </row>
    <row r="751" spans="2:26">
      <c r="B751" s="468">
        <v>45440</v>
      </c>
      <c r="C751" s="232" t="s">
        <v>219</v>
      </c>
      <c r="D751" s="327">
        <v>720</v>
      </c>
      <c r="E751" s="234">
        <f t="shared" si="72"/>
        <v>46000</v>
      </c>
      <c r="F751" s="234">
        <f t="shared" si="73"/>
        <v>33120000</v>
      </c>
      <c r="G751" s="276"/>
      <c r="H751" s="655"/>
      <c r="I751" s="652"/>
      <c r="J751" s="467"/>
      <c r="W751" s="54"/>
      <c r="Y751" s="451"/>
      <c r="Z751" s="51"/>
    </row>
    <row r="752" spans="2:26">
      <c r="B752" s="470">
        <v>45441</v>
      </c>
      <c r="C752" s="471" t="s">
        <v>219</v>
      </c>
      <c r="D752" s="472">
        <v>335</v>
      </c>
      <c r="E752" s="473">
        <f t="shared" si="72"/>
        <v>46000</v>
      </c>
      <c r="F752" s="473">
        <f t="shared" si="73"/>
        <v>15410000</v>
      </c>
      <c r="G752" s="474"/>
      <c r="H752" s="743"/>
      <c r="I752" s="740">
        <f>SUM(F752:F755)</f>
        <v>78890000</v>
      </c>
      <c r="J752" s="475"/>
      <c r="W752" s="54"/>
      <c r="Y752" s="458"/>
      <c r="Z752" s="51"/>
    </row>
    <row r="753" spans="2:26">
      <c r="B753" s="470">
        <v>45442</v>
      </c>
      <c r="C753" s="471" t="s">
        <v>219</v>
      </c>
      <c r="D753" s="472">
        <v>320</v>
      </c>
      <c r="E753" s="473">
        <f t="shared" si="72"/>
        <v>46000</v>
      </c>
      <c r="F753" s="473">
        <f t="shared" si="73"/>
        <v>14720000</v>
      </c>
      <c r="G753" s="474"/>
      <c r="H753" s="744"/>
      <c r="I753" s="741"/>
      <c r="J753" s="475"/>
      <c r="W753" s="54"/>
      <c r="Y753" s="458"/>
      <c r="Z753" s="51"/>
    </row>
    <row r="754" spans="2:26">
      <c r="B754" s="470">
        <v>45444</v>
      </c>
      <c r="C754" s="471" t="s">
        <v>219</v>
      </c>
      <c r="D754" s="472">
        <v>720</v>
      </c>
      <c r="E754" s="473">
        <f t="shared" si="72"/>
        <v>46000</v>
      </c>
      <c r="F754" s="473">
        <f t="shared" si="73"/>
        <v>33120000</v>
      </c>
      <c r="G754" s="474"/>
      <c r="H754" s="744"/>
      <c r="I754" s="741"/>
      <c r="J754" s="475"/>
      <c r="W754" s="54"/>
      <c r="Y754" s="458"/>
      <c r="Z754" s="51"/>
    </row>
    <row r="755" spans="2:26">
      <c r="B755" s="470">
        <v>45444</v>
      </c>
      <c r="C755" s="471" t="s">
        <v>219</v>
      </c>
      <c r="D755" s="472">
        <v>340</v>
      </c>
      <c r="E755" s="473">
        <f t="shared" si="72"/>
        <v>46000</v>
      </c>
      <c r="F755" s="473">
        <f t="shared" si="73"/>
        <v>15640000</v>
      </c>
      <c r="G755" s="474"/>
      <c r="H755" s="745"/>
      <c r="I755" s="742"/>
      <c r="J755" s="475"/>
      <c r="W755" s="54"/>
      <c r="Y755" s="458"/>
      <c r="Z755" s="51"/>
    </row>
    <row r="756" spans="2:26">
      <c r="B756" s="477">
        <v>45447</v>
      </c>
      <c r="C756" s="39" t="s">
        <v>219</v>
      </c>
      <c r="D756" s="323">
        <v>315</v>
      </c>
      <c r="E756" s="41">
        <f t="shared" si="72"/>
        <v>46000</v>
      </c>
      <c r="F756" s="41">
        <f t="shared" si="73"/>
        <v>14490000</v>
      </c>
      <c r="G756" s="43"/>
      <c r="H756" s="710">
        <v>45476</v>
      </c>
      <c r="I756" s="728">
        <f>SUM(F756:F765)</f>
        <v>164152000</v>
      </c>
      <c r="J756" s="732"/>
      <c r="W756" s="54"/>
      <c r="Y756" s="458"/>
      <c r="Z756" s="51"/>
    </row>
    <row r="757" spans="2:26">
      <c r="B757" s="702">
        <v>45448</v>
      </c>
      <c r="C757" s="39" t="s">
        <v>219</v>
      </c>
      <c r="D757" s="323">
        <v>275</v>
      </c>
      <c r="E757" s="41">
        <f t="shared" si="72"/>
        <v>46000</v>
      </c>
      <c r="F757" s="41">
        <f t="shared" si="73"/>
        <v>12650000</v>
      </c>
      <c r="G757" s="43"/>
      <c r="H757" s="731"/>
      <c r="I757" s="729"/>
      <c r="J757" s="733"/>
      <c r="W757" s="54"/>
      <c r="Y757" s="460"/>
      <c r="Z757" s="51"/>
    </row>
    <row r="758" spans="2:26">
      <c r="B758" s="704"/>
      <c r="C758" s="39" t="s">
        <v>226</v>
      </c>
      <c r="D758" s="323">
        <v>24</v>
      </c>
      <c r="E758" s="41">
        <f t="shared" si="72"/>
        <v>95500</v>
      </c>
      <c r="F758" s="41">
        <f t="shared" si="73"/>
        <v>2292000</v>
      </c>
      <c r="G758" s="43"/>
      <c r="H758" s="731"/>
      <c r="I758" s="729"/>
      <c r="J758" s="733"/>
      <c r="W758" s="54"/>
      <c r="Y758" s="460"/>
      <c r="Z758" s="51"/>
    </row>
    <row r="759" spans="2:26">
      <c r="B759" s="702">
        <v>45449</v>
      </c>
      <c r="C759" s="39" t="s">
        <v>222</v>
      </c>
      <c r="D759" s="323">
        <v>300</v>
      </c>
      <c r="E759" s="41">
        <v>14600</v>
      </c>
      <c r="F759" s="41">
        <f t="shared" si="73"/>
        <v>4380000</v>
      </c>
      <c r="G759" s="43"/>
      <c r="H759" s="731"/>
      <c r="I759" s="729"/>
      <c r="J759" s="733"/>
      <c r="W759" s="54"/>
      <c r="Y759" s="460"/>
      <c r="Z759" s="51"/>
    </row>
    <row r="760" spans="2:26">
      <c r="B760" s="703"/>
      <c r="C760" s="39" t="s">
        <v>224</v>
      </c>
      <c r="D760" s="323">
        <v>200</v>
      </c>
      <c r="E760" s="41">
        <v>14600</v>
      </c>
      <c r="F760" s="41">
        <f t="shared" si="73"/>
        <v>2920000</v>
      </c>
      <c r="G760" s="43"/>
      <c r="H760" s="731"/>
      <c r="I760" s="729"/>
      <c r="J760" s="733"/>
      <c r="W760" s="54"/>
      <c r="Y760" s="460"/>
      <c r="Z760" s="51"/>
    </row>
    <row r="761" spans="2:26">
      <c r="B761" s="704"/>
      <c r="C761" s="39" t="s">
        <v>219</v>
      </c>
      <c r="D761" s="323">
        <v>640</v>
      </c>
      <c r="E761" s="41">
        <f t="shared" ref="E761:E768" si="74">IFERROR(INDEX(daftar,MATCH(C761,nmdaftar,0),2),"-")</f>
        <v>46000</v>
      </c>
      <c r="F761" s="41">
        <f t="shared" si="73"/>
        <v>29440000</v>
      </c>
      <c r="G761" s="43"/>
      <c r="H761" s="731"/>
      <c r="I761" s="729"/>
      <c r="J761" s="733"/>
      <c r="W761" s="54"/>
      <c r="Y761" s="460"/>
      <c r="Z761" s="51"/>
    </row>
    <row r="762" spans="2:26">
      <c r="B762" s="477">
        <v>45450</v>
      </c>
      <c r="C762" s="39" t="s">
        <v>219</v>
      </c>
      <c r="D762" s="323">
        <v>720</v>
      </c>
      <c r="E762" s="41">
        <f t="shared" si="74"/>
        <v>46000</v>
      </c>
      <c r="F762" s="41">
        <f t="shared" si="73"/>
        <v>33120000</v>
      </c>
      <c r="G762" s="43"/>
      <c r="H762" s="731"/>
      <c r="I762" s="729"/>
      <c r="J762" s="733"/>
      <c r="W762" s="54"/>
      <c r="Y762" s="460"/>
      <c r="Z762" s="51"/>
    </row>
    <row r="763" spans="2:26">
      <c r="B763" s="477">
        <v>45451</v>
      </c>
      <c r="C763" s="39" t="s">
        <v>219</v>
      </c>
      <c r="D763" s="323">
        <v>340</v>
      </c>
      <c r="E763" s="41">
        <f t="shared" si="74"/>
        <v>46000</v>
      </c>
      <c r="F763" s="41">
        <f t="shared" si="73"/>
        <v>15640000</v>
      </c>
      <c r="G763" s="43"/>
      <c r="H763" s="731"/>
      <c r="I763" s="729"/>
      <c r="J763" s="733"/>
      <c r="W763" s="54"/>
      <c r="Y763" s="460"/>
      <c r="Z763" s="51"/>
    </row>
    <row r="764" spans="2:26">
      <c r="B764" s="477">
        <v>45453</v>
      </c>
      <c r="C764" s="39" t="s">
        <v>219</v>
      </c>
      <c r="D764" s="323">
        <v>720</v>
      </c>
      <c r="E764" s="41">
        <f t="shared" si="74"/>
        <v>46000</v>
      </c>
      <c r="F764" s="41">
        <f t="shared" si="73"/>
        <v>33120000</v>
      </c>
      <c r="G764" s="43"/>
      <c r="H764" s="731"/>
      <c r="I764" s="729"/>
      <c r="J764" s="733"/>
      <c r="W764" s="54"/>
      <c r="Y764" s="460"/>
      <c r="Z764" s="51"/>
    </row>
    <row r="765" spans="2:26">
      <c r="B765" s="477">
        <v>45455</v>
      </c>
      <c r="C765" s="39" t="s">
        <v>219</v>
      </c>
      <c r="D765" s="323">
        <v>350</v>
      </c>
      <c r="E765" s="41">
        <f t="shared" si="74"/>
        <v>46000</v>
      </c>
      <c r="F765" s="41">
        <f t="shared" ref="F765" si="75">IF(E765="-","-",D765*E765)</f>
        <v>16100000</v>
      </c>
      <c r="G765" s="43"/>
      <c r="H765" s="711"/>
      <c r="I765" s="730"/>
      <c r="J765" s="734"/>
      <c r="W765" s="54"/>
      <c r="Y765" s="463"/>
      <c r="Z765" s="51"/>
    </row>
    <row r="766" spans="2:26">
      <c r="B766" s="480">
        <v>45456</v>
      </c>
      <c r="C766" s="481" t="s">
        <v>219</v>
      </c>
      <c r="D766" s="482">
        <v>720</v>
      </c>
      <c r="E766" s="483">
        <f t="shared" si="74"/>
        <v>46000</v>
      </c>
      <c r="F766" s="483">
        <f t="shared" ref="F766" si="76">IF(E766="-","-",D766*E766)</f>
        <v>33120000</v>
      </c>
      <c r="G766" s="484"/>
      <c r="H766" s="994">
        <v>45481</v>
      </c>
      <c r="I766" s="1010">
        <f>SUM(F766:F770)</f>
        <v>117540000</v>
      </c>
      <c r="J766" s="994"/>
      <c r="W766" s="54"/>
      <c r="Y766" s="463"/>
      <c r="Z766" s="51"/>
    </row>
    <row r="767" spans="2:26">
      <c r="B767" s="480">
        <v>45456</v>
      </c>
      <c r="C767" s="481" t="s">
        <v>219</v>
      </c>
      <c r="D767" s="482">
        <v>320</v>
      </c>
      <c r="E767" s="483">
        <f t="shared" si="74"/>
        <v>46000</v>
      </c>
      <c r="F767" s="483">
        <f t="shared" ref="F767" si="77">IF(E767="-","-",D767*E767)</f>
        <v>14720000</v>
      </c>
      <c r="G767" s="484"/>
      <c r="H767" s="995"/>
      <c r="I767" s="1011"/>
      <c r="J767" s="995"/>
      <c r="W767" s="54"/>
      <c r="Y767" s="463"/>
      <c r="Z767" s="51"/>
    </row>
    <row r="768" spans="2:26">
      <c r="B768" s="1008">
        <v>45457</v>
      </c>
      <c r="C768" s="481" t="s">
        <v>219</v>
      </c>
      <c r="D768" s="482">
        <v>700</v>
      </c>
      <c r="E768" s="483">
        <f t="shared" si="74"/>
        <v>46000</v>
      </c>
      <c r="F768" s="483">
        <f t="shared" ref="F768" si="78">IF(E768="-","-",D768*E768)</f>
        <v>32200000</v>
      </c>
      <c r="G768" s="484"/>
      <c r="H768" s="995"/>
      <c r="I768" s="1011"/>
      <c r="J768" s="995"/>
      <c r="W768" s="54"/>
      <c r="Y768" s="463"/>
      <c r="Z768" s="51"/>
    </row>
    <row r="769" spans="2:26">
      <c r="B769" s="1009"/>
      <c r="C769" s="481" t="s">
        <v>224</v>
      </c>
      <c r="D769" s="482">
        <v>300</v>
      </c>
      <c r="E769" s="483">
        <v>14600</v>
      </c>
      <c r="F769" s="483">
        <f t="shared" ref="F769" si="79">IF(E769="-","-",D769*E769)</f>
        <v>4380000</v>
      </c>
      <c r="G769" s="484"/>
      <c r="H769" s="995"/>
      <c r="I769" s="1011"/>
      <c r="J769" s="995"/>
      <c r="W769" s="54"/>
      <c r="Y769" s="463"/>
      <c r="Z769" s="51"/>
    </row>
    <row r="770" spans="2:26">
      <c r="B770" s="480">
        <v>45461</v>
      </c>
      <c r="C770" s="481" t="s">
        <v>219</v>
      </c>
      <c r="D770" s="482">
        <v>720</v>
      </c>
      <c r="E770" s="483">
        <f t="shared" ref="E770" si="80">IFERROR(INDEX(daftar,MATCH(C770,nmdaftar,0),2),"-")</f>
        <v>46000</v>
      </c>
      <c r="F770" s="483">
        <f t="shared" ref="F770:F771" si="81">IF(E770="-","-",D770*E770)</f>
        <v>33120000</v>
      </c>
      <c r="G770" s="484"/>
      <c r="H770" s="996"/>
      <c r="I770" s="1012"/>
      <c r="J770" s="996"/>
      <c r="W770" s="54"/>
      <c r="Y770" s="465"/>
      <c r="Z770" s="51"/>
    </row>
    <row r="771" spans="2:26">
      <c r="B771" s="485"/>
      <c r="C771" s="39" t="s">
        <v>222</v>
      </c>
      <c r="D771" s="323">
        <v>300</v>
      </c>
      <c r="E771" s="41">
        <v>14600</v>
      </c>
      <c r="F771" s="41">
        <f t="shared" si="81"/>
        <v>4380000</v>
      </c>
      <c r="G771" s="43"/>
      <c r="H771" s="710">
        <v>45490</v>
      </c>
      <c r="I771" s="728">
        <f>SUM(F771:F776)</f>
        <v>70033500</v>
      </c>
      <c r="J771" s="732"/>
      <c r="W771" s="54"/>
      <c r="Y771" s="465"/>
      <c r="Z771" s="51"/>
    </row>
    <row r="772" spans="2:26">
      <c r="B772" s="485"/>
      <c r="C772" s="39" t="s">
        <v>219</v>
      </c>
      <c r="D772" s="323">
        <v>325</v>
      </c>
      <c r="E772" s="41">
        <f t="shared" ref="E772" si="82">IFERROR(INDEX(daftar,MATCH(C772,nmdaftar,0),2),"-")</f>
        <v>46000</v>
      </c>
      <c r="F772" s="41">
        <f t="shared" ref="F772" si="83">IF(E772="-","-",D772*E772)</f>
        <v>14950000</v>
      </c>
      <c r="G772" s="43"/>
      <c r="H772" s="731"/>
      <c r="I772" s="729"/>
      <c r="J772" s="733"/>
      <c r="W772" s="54"/>
      <c r="Y772" s="465"/>
      <c r="Z772" s="51"/>
    </row>
    <row r="773" spans="2:26">
      <c r="B773" s="702">
        <v>45465</v>
      </c>
      <c r="C773" s="39" t="s">
        <v>219</v>
      </c>
      <c r="D773" s="323">
        <v>450</v>
      </c>
      <c r="E773" s="41">
        <f t="shared" ref="E773" si="84">IFERROR(INDEX(daftar,MATCH(C773,nmdaftar,0),2),"-")</f>
        <v>46000</v>
      </c>
      <c r="F773" s="41">
        <f t="shared" ref="F773" si="85">IF(E773="-","-",D773*E773)</f>
        <v>20700000</v>
      </c>
      <c r="G773" s="43"/>
      <c r="H773" s="731"/>
      <c r="I773" s="729"/>
      <c r="J773" s="733"/>
      <c r="W773" s="54"/>
      <c r="Y773" s="464"/>
      <c r="Z773" s="51"/>
    </row>
    <row r="774" spans="2:26">
      <c r="B774" s="703"/>
      <c r="C774" s="39" t="s">
        <v>226</v>
      </c>
      <c r="D774" s="323">
        <v>67</v>
      </c>
      <c r="E774" s="41">
        <f t="shared" ref="E774" si="86">IFERROR(INDEX(daftar,MATCH(C774,nmdaftar,0),2),"-")</f>
        <v>95500</v>
      </c>
      <c r="F774" s="41">
        <f t="shared" ref="F774" si="87">IF(E774="-","-",D774*E774)</f>
        <v>6398500</v>
      </c>
      <c r="G774" s="43"/>
      <c r="H774" s="731"/>
      <c r="I774" s="729"/>
      <c r="J774" s="733"/>
      <c r="W774" s="54"/>
      <c r="Y774" s="464"/>
      <c r="Z774" s="51"/>
    </row>
    <row r="775" spans="2:26">
      <c r="B775" s="704"/>
      <c r="C775" s="39" t="s">
        <v>220</v>
      </c>
      <c r="D775" s="323">
        <v>295</v>
      </c>
      <c r="E775" s="367">
        <f t="shared" ref="E775:E776" si="88">IFERROR(INDEX(daftar,MATCH(C775,nmdaftar,0),2),"-")</f>
        <v>27000</v>
      </c>
      <c r="F775" s="367">
        <f t="shared" ref="F775:F776" si="89">IF(E775="-","-",D775*E775)</f>
        <v>7965000</v>
      </c>
      <c r="G775" s="43"/>
      <c r="H775" s="731"/>
      <c r="I775" s="729"/>
      <c r="J775" s="733"/>
      <c r="W775" s="54"/>
      <c r="Y775" s="464"/>
      <c r="Z775" s="51"/>
    </row>
    <row r="776" spans="2:26">
      <c r="B776" s="486">
        <v>45468</v>
      </c>
      <c r="C776" s="39" t="s">
        <v>219</v>
      </c>
      <c r="D776" s="323">
        <v>340</v>
      </c>
      <c r="E776" s="41">
        <f t="shared" si="88"/>
        <v>46000</v>
      </c>
      <c r="F776" s="41">
        <f t="shared" si="89"/>
        <v>15640000</v>
      </c>
      <c r="G776" s="43"/>
      <c r="H776" s="711"/>
      <c r="I776" s="730"/>
      <c r="J776" s="734"/>
      <c r="W776" s="54"/>
      <c r="Y776" s="464"/>
      <c r="Z776" s="51"/>
    </row>
    <row r="777" spans="2:26">
      <c r="B777" s="470">
        <v>45469</v>
      </c>
      <c r="C777" s="471" t="s">
        <v>219</v>
      </c>
      <c r="D777" s="472">
        <v>720</v>
      </c>
      <c r="E777" s="473">
        <f t="shared" ref="E777" si="90">IFERROR(INDEX(daftar,MATCH(C777,nmdaftar,0),2),"-")</f>
        <v>46000</v>
      </c>
      <c r="F777" s="473">
        <f t="shared" ref="F777" si="91">IF(E777="-","-",D777*E777)</f>
        <v>33120000</v>
      </c>
      <c r="G777" s="474"/>
      <c r="H777" s="743"/>
      <c r="I777" s="740">
        <f>SUM(F777:F781)</f>
        <v>65790000</v>
      </c>
      <c r="J777" s="746"/>
      <c r="W777" s="54"/>
      <c r="Y777" s="469"/>
      <c r="Z777" s="51"/>
    </row>
    <row r="778" spans="2:26">
      <c r="B778" s="800">
        <v>45471</v>
      </c>
      <c r="C778" s="471" t="s">
        <v>222</v>
      </c>
      <c r="D778" s="472">
        <v>100</v>
      </c>
      <c r="E778" s="473">
        <v>14600</v>
      </c>
      <c r="F778" s="473">
        <f t="shared" ref="F778:F780" si="92">IF(E778="-","-",D778*E778)</f>
        <v>1460000</v>
      </c>
      <c r="G778" s="474"/>
      <c r="H778" s="744"/>
      <c r="I778" s="741"/>
      <c r="J778" s="747"/>
      <c r="W778" s="54"/>
      <c r="Y778" s="469"/>
      <c r="Z778" s="51"/>
    </row>
    <row r="779" spans="2:26">
      <c r="B779" s="801"/>
      <c r="C779" s="471" t="s">
        <v>224</v>
      </c>
      <c r="D779" s="472">
        <v>200</v>
      </c>
      <c r="E779" s="473">
        <v>14600</v>
      </c>
      <c r="F779" s="473">
        <f t="shared" si="92"/>
        <v>2920000</v>
      </c>
      <c r="G779" s="474"/>
      <c r="H779" s="744"/>
      <c r="I779" s="741"/>
      <c r="J779" s="747"/>
      <c r="W779" s="54"/>
      <c r="Y779" s="469"/>
      <c r="Z779" s="51"/>
    </row>
    <row r="780" spans="2:26">
      <c r="B780" s="802"/>
      <c r="C780" s="471" t="s">
        <v>219</v>
      </c>
      <c r="D780" s="472">
        <v>300</v>
      </c>
      <c r="E780" s="473">
        <f t="shared" ref="E780" si="93">IFERROR(INDEX(daftar,MATCH(C780,nmdaftar,0),2),"-")</f>
        <v>46000</v>
      </c>
      <c r="F780" s="473">
        <f t="shared" si="92"/>
        <v>13800000</v>
      </c>
      <c r="G780" s="474"/>
      <c r="H780" s="744"/>
      <c r="I780" s="741"/>
      <c r="J780" s="747"/>
      <c r="W780" s="54"/>
      <c r="Y780" s="469"/>
      <c r="Z780" s="51"/>
    </row>
    <row r="781" spans="2:26">
      <c r="B781" s="470">
        <v>45472</v>
      </c>
      <c r="C781" s="471" t="s">
        <v>219</v>
      </c>
      <c r="D781" s="472">
        <v>315</v>
      </c>
      <c r="E781" s="473">
        <f t="shared" ref="E781" si="94">IFERROR(INDEX(daftar,MATCH(C781,nmdaftar,0),2),"-")</f>
        <v>46000</v>
      </c>
      <c r="F781" s="473">
        <f t="shared" ref="F781" si="95">IF(E781="-","-",D781*E781)</f>
        <v>14490000</v>
      </c>
      <c r="G781" s="474"/>
      <c r="H781" s="745"/>
      <c r="I781" s="742"/>
      <c r="J781" s="748"/>
      <c r="W781" s="54"/>
      <c r="Y781" s="469"/>
      <c r="Z781" s="51"/>
    </row>
    <row r="782" spans="2:26">
      <c r="B782" s="702">
        <v>45474</v>
      </c>
      <c r="C782" s="39" t="s">
        <v>226</v>
      </c>
      <c r="D782" s="323">
        <v>80</v>
      </c>
      <c r="E782" s="41">
        <f t="shared" ref="E782:E783" si="96">IFERROR(INDEX(daftar,MATCH(C782,nmdaftar,0),2),"-")</f>
        <v>95500</v>
      </c>
      <c r="F782" s="41">
        <f t="shared" ref="F782:F783" si="97">IF(E782="-","-",D782*E782)</f>
        <v>7640000</v>
      </c>
      <c r="G782" s="43"/>
      <c r="H782" s="710">
        <v>45498</v>
      </c>
      <c r="I782" s="728">
        <f>SUM(F782:F786)</f>
        <v>98030000</v>
      </c>
      <c r="J782" s="732"/>
      <c r="W782" s="54"/>
      <c r="Y782" s="469"/>
      <c r="Z782" s="51"/>
    </row>
    <row r="783" spans="2:26">
      <c r="B783" s="704"/>
      <c r="C783" s="39" t="s">
        <v>219</v>
      </c>
      <c r="D783" s="323">
        <v>600</v>
      </c>
      <c r="E783" s="41">
        <f t="shared" si="96"/>
        <v>46000</v>
      </c>
      <c r="F783" s="41">
        <f t="shared" si="97"/>
        <v>27600000</v>
      </c>
      <c r="G783" s="43"/>
      <c r="H783" s="731"/>
      <c r="I783" s="729"/>
      <c r="J783" s="733"/>
      <c r="W783" s="54"/>
      <c r="Y783" s="469"/>
      <c r="Z783" s="51"/>
    </row>
    <row r="784" spans="2:26">
      <c r="B784" s="490">
        <v>45475</v>
      </c>
      <c r="C784" s="39" t="s">
        <v>219</v>
      </c>
      <c r="D784" s="323">
        <v>320</v>
      </c>
      <c r="E784" s="41">
        <f t="shared" ref="E784" si="98">IFERROR(INDEX(daftar,MATCH(C784,nmdaftar,0),2),"-")</f>
        <v>46000</v>
      </c>
      <c r="F784" s="41">
        <f t="shared" ref="F784" si="99">IF(E784="-","-",D784*E784)</f>
        <v>14720000</v>
      </c>
      <c r="G784" s="43"/>
      <c r="H784" s="731"/>
      <c r="I784" s="729"/>
      <c r="J784" s="733"/>
      <c r="W784" s="54"/>
      <c r="Y784" s="476"/>
      <c r="Z784" s="51"/>
    </row>
    <row r="785" spans="2:26">
      <c r="B785" s="490">
        <v>45476</v>
      </c>
      <c r="C785" s="39" t="s">
        <v>219</v>
      </c>
      <c r="D785" s="323">
        <v>325</v>
      </c>
      <c r="E785" s="41">
        <f t="shared" ref="E785" si="100">IFERROR(INDEX(daftar,MATCH(C785,nmdaftar,0),2),"-")</f>
        <v>46000</v>
      </c>
      <c r="F785" s="41">
        <f t="shared" ref="F785" si="101">IF(E785="-","-",D785*E785)</f>
        <v>14950000</v>
      </c>
      <c r="G785" s="43"/>
      <c r="H785" s="731"/>
      <c r="I785" s="729"/>
      <c r="J785" s="733"/>
      <c r="W785" s="54"/>
      <c r="Y785" s="476"/>
      <c r="Z785" s="51"/>
    </row>
    <row r="786" spans="2:26">
      <c r="B786" s="490">
        <v>45478</v>
      </c>
      <c r="C786" s="39" t="s">
        <v>219</v>
      </c>
      <c r="D786" s="323">
        <v>720</v>
      </c>
      <c r="E786" s="41">
        <f t="shared" ref="E786" si="102">IFERROR(INDEX(daftar,MATCH(C786,nmdaftar,0),2),"-")</f>
        <v>46000</v>
      </c>
      <c r="F786" s="41">
        <f t="shared" ref="F786" si="103">IF(E786="-","-",D786*E786)</f>
        <v>33120000</v>
      </c>
      <c r="G786" s="43"/>
      <c r="H786" s="711"/>
      <c r="I786" s="730"/>
      <c r="J786" s="734"/>
      <c r="W786" s="54"/>
      <c r="Y786" s="476"/>
      <c r="Z786" s="51"/>
    </row>
    <row r="787" spans="2:26">
      <c r="B787" s="492">
        <v>45481</v>
      </c>
      <c r="C787" s="232" t="s">
        <v>219</v>
      </c>
      <c r="D787" s="327">
        <v>720</v>
      </c>
      <c r="E787" s="234">
        <f t="shared" ref="E787" si="104">IFERROR(INDEX(daftar,MATCH(C787,nmdaftar,0),2),"-")</f>
        <v>46000</v>
      </c>
      <c r="F787" s="234">
        <f t="shared" ref="F787" si="105">IF(E787="-","-",D787*E787)</f>
        <v>33120000</v>
      </c>
      <c r="G787" s="276"/>
      <c r="H787" s="653">
        <v>45506</v>
      </c>
      <c r="I787" s="650">
        <f>SUM(F787:F792)</f>
        <v>106060000</v>
      </c>
      <c r="J787" s="674"/>
      <c r="W787" s="54"/>
      <c r="Y787" s="476"/>
      <c r="Z787" s="51"/>
    </row>
    <row r="788" spans="2:26">
      <c r="B788" s="492">
        <v>45482</v>
      </c>
      <c r="C788" s="232" t="s">
        <v>219</v>
      </c>
      <c r="D788" s="327">
        <v>720</v>
      </c>
      <c r="E788" s="234">
        <f t="shared" ref="E788" si="106">IFERROR(INDEX(daftar,MATCH(C788,nmdaftar,0),2),"-")</f>
        <v>46000</v>
      </c>
      <c r="F788" s="234">
        <f t="shared" ref="F788" si="107">IF(E788="-","-",D788*E788)</f>
        <v>33120000</v>
      </c>
      <c r="G788" s="276"/>
      <c r="H788" s="654"/>
      <c r="I788" s="651"/>
      <c r="J788" s="752"/>
      <c r="W788" s="54"/>
      <c r="Y788" s="478"/>
      <c r="Z788" s="51"/>
    </row>
    <row r="789" spans="2:26">
      <c r="B789" s="492">
        <v>45483</v>
      </c>
      <c r="C789" s="232" t="s">
        <v>219</v>
      </c>
      <c r="D789" s="327">
        <v>360</v>
      </c>
      <c r="E789" s="234">
        <f t="shared" ref="E789" si="108">IFERROR(INDEX(daftar,MATCH(C789,nmdaftar,0),2),"-")</f>
        <v>46000</v>
      </c>
      <c r="F789" s="234">
        <f t="shared" ref="F789" si="109">IF(E789="-","-",D789*E789)</f>
        <v>16560000</v>
      </c>
      <c r="G789" s="276"/>
      <c r="H789" s="654"/>
      <c r="I789" s="651"/>
      <c r="J789" s="752"/>
      <c r="W789" s="54"/>
      <c r="Y789" s="478"/>
      <c r="Z789" s="51"/>
    </row>
    <row r="790" spans="2:26">
      <c r="B790" s="700">
        <v>45483</v>
      </c>
      <c r="C790" s="232" t="s">
        <v>222</v>
      </c>
      <c r="D790" s="327">
        <v>500</v>
      </c>
      <c r="E790" s="234">
        <v>14600</v>
      </c>
      <c r="F790" s="234">
        <f t="shared" ref="F790:F792" si="110">IF(E790="-","-",D790*E790)</f>
        <v>7300000</v>
      </c>
      <c r="G790" s="276"/>
      <c r="H790" s="654"/>
      <c r="I790" s="651"/>
      <c r="J790" s="752"/>
      <c r="W790" s="54"/>
      <c r="Y790" s="478"/>
      <c r="Z790" s="51"/>
    </row>
    <row r="791" spans="2:26">
      <c r="B791" s="848"/>
      <c r="C791" s="232" t="s">
        <v>224</v>
      </c>
      <c r="D791" s="327">
        <v>400</v>
      </c>
      <c r="E791" s="234">
        <v>14600</v>
      </c>
      <c r="F791" s="234">
        <f t="shared" si="110"/>
        <v>5840000</v>
      </c>
      <c r="G791" s="276"/>
      <c r="H791" s="654"/>
      <c r="I791" s="651"/>
      <c r="J791" s="752"/>
      <c r="W791" s="54"/>
      <c r="Y791" s="478"/>
      <c r="Z791" s="51"/>
    </row>
    <row r="792" spans="2:26">
      <c r="B792" s="701"/>
      <c r="C792" s="232" t="s">
        <v>219</v>
      </c>
      <c r="D792" s="327">
        <v>220</v>
      </c>
      <c r="E792" s="234">
        <f t="shared" ref="E792" si="111">IFERROR(INDEX(daftar,MATCH(C792,nmdaftar,0),2),"-")</f>
        <v>46000</v>
      </c>
      <c r="F792" s="234">
        <f t="shared" si="110"/>
        <v>10120000</v>
      </c>
      <c r="G792" s="276"/>
      <c r="H792" s="655"/>
      <c r="I792" s="652"/>
      <c r="J792" s="675"/>
      <c r="W792" s="54"/>
      <c r="Y792" s="478"/>
      <c r="Z792" s="51"/>
    </row>
    <row r="793" spans="2:26">
      <c r="B793" s="493">
        <v>45485</v>
      </c>
      <c r="C793" s="39" t="s">
        <v>219</v>
      </c>
      <c r="D793" s="323">
        <v>720</v>
      </c>
      <c r="E793" s="41">
        <f t="shared" ref="E793" si="112">IFERROR(INDEX(daftar,MATCH(C793,nmdaftar,0),2),"-")</f>
        <v>46000</v>
      </c>
      <c r="F793" s="41">
        <f t="shared" ref="F793" si="113">IF(E793="-","-",D793*E793)</f>
        <v>33120000</v>
      </c>
      <c r="G793" s="43"/>
      <c r="H793" s="710">
        <v>45512</v>
      </c>
      <c r="I793" s="728">
        <f>SUM(F793:F794)</f>
        <v>66240000</v>
      </c>
      <c r="J793" s="732"/>
      <c r="W793" s="54"/>
      <c r="Y793" s="478"/>
      <c r="Z793" s="51"/>
    </row>
    <row r="794" spans="2:26">
      <c r="B794" s="493">
        <v>45486</v>
      </c>
      <c r="C794" s="39" t="s">
        <v>219</v>
      </c>
      <c r="D794" s="323">
        <v>720</v>
      </c>
      <c r="E794" s="41">
        <f t="shared" ref="E794" si="114">IFERROR(INDEX(daftar,MATCH(C794,nmdaftar,0),2),"-")</f>
        <v>46000</v>
      </c>
      <c r="F794" s="41">
        <f t="shared" ref="F794" si="115">IF(E794="-","-",D794*E794)</f>
        <v>33120000</v>
      </c>
      <c r="G794" s="43"/>
      <c r="H794" s="711"/>
      <c r="I794" s="730"/>
      <c r="J794" s="734"/>
      <c r="W794" s="54"/>
      <c r="Y794" s="478"/>
      <c r="Z794" s="51"/>
    </row>
    <row r="795" spans="2:26">
      <c r="B795" s="796">
        <v>45489</v>
      </c>
      <c r="C795" s="498" t="s">
        <v>219</v>
      </c>
      <c r="D795" s="499">
        <v>170</v>
      </c>
      <c r="E795" s="500">
        <f t="shared" ref="E795" si="116">IFERROR(INDEX(daftar,MATCH(C795,nmdaftar,0),2),"-")</f>
        <v>46000</v>
      </c>
      <c r="F795" s="500">
        <f t="shared" ref="F795" si="117">IF(E795="-","-",D795*E795)</f>
        <v>7820000</v>
      </c>
      <c r="G795" s="501"/>
      <c r="H795" s="806"/>
      <c r="I795" s="809">
        <f>SUM(F795:F803)</f>
        <v>115145000</v>
      </c>
      <c r="J795" s="806"/>
      <c r="W795" s="54"/>
      <c r="Y795" s="487"/>
      <c r="Z795" s="51"/>
    </row>
    <row r="796" spans="2:26">
      <c r="B796" s="798"/>
      <c r="C796" s="498" t="s">
        <v>220</v>
      </c>
      <c r="D796" s="499">
        <v>326</v>
      </c>
      <c r="E796" s="500">
        <f t="shared" ref="E796" si="118">IFERROR(INDEX(daftar,MATCH(C796,nmdaftar,0),2),"-")</f>
        <v>27000</v>
      </c>
      <c r="F796" s="500">
        <f t="shared" ref="F796" si="119">IF(E796="-","-",D796*E796)</f>
        <v>8802000</v>
      </c>
      <c r="G796" s="501"/>
      <c r="H796" s="807"/>
      <c r="I796" s="810"/>
      <c r="J796" s="807"/>
      <c r="W796" s="54"/>
      <c r="Y796" s="479"/>
      <c r="Z796" s="51"/>
    </row>
    <row r="797" spans="2:26">
      <c r="B797" s="502">
        <v>45490</v>
      </c>
      <c r="C797" s="498" t="s">
        <v>219</v>
      </c>
      <c r="D797" s="499">
        <v>325</v>
      </c>
      <c r="E797" s="500">
        <f t="shared" ref="E797" si="120">IFERROR(INDEX(daftar,MATCH(C797,nmdaftar,0),2),"-")</f>
        <v>46000</v>
      </c>
      <c r="F797" s="500">
        <f t="shared" ref="F797" si="121">IF(E797="-","-",D797*E797)</f>
        <v>14950000</v>
      </c>
      <c r="G797" s="501"/>
      <c r="H797" s="807"/>
      <c r="I797" s="810"/>
      <c r="J797" s="807"/>
      <c r="W797" s="54"/>
      <c r="Y797" s="479"/>
      <c r="Z797" s="51"/>
    </row>
    <row r="798" spans="2:26">
      <c r="B798" s="502">
        <v>45491</v>
      </c>
      <c r="C798" s="498" t="s">
        <v>219</v>
      </c>
      <c r="D798" s="499">
        <v>720</v>
      </c>
      <c r="E798" s="500">
        <f t="shared" ref="E798" si="122">IFERROR(INDEX(daftar,MATCH(C798,nmdaftar,0),2),"-")</f>
        <v>46000</v>
      </c>
      <c r="F798" s="500">
        <f t="shared" ref="F798" si="123">IF(E798="-","-",D798*E798)</f>
        <v>33120000</v>
      </c>
      <c r="G798" s="501"/>
      <c r="H798" s="807"/>
      <c r="I798" s="810"/>
      <c r="J798" s="807"/>
      <c r="W798" s="54"/>
      <c r="Y798" s="479"/>
      <c r="Z798" s="51"/>
    </row>
    <row r="799" spans="2:26">
      <c r="B799" s="796">
        <v>45493</v>
      </c>
      <c r="C799" s="498" t="s">
        <v>226</v>
      </c>
      <c r="D799" s="499">
        <v>126</v>
      </c>
      <c r="E799" s="500">
        <f t="shared" ref="E799" si="124">IFERROR(INDEX(daftar,MATCH(C799,nmdaftar,0),2),"-")</f>
        <v>95500</v>
      </c>
      <c r="F799" s="500">
        <f t="shared" ref="F799" si="125">IF(E799="-","-",D799*E799)</f>
        <v>12033000</v>
      </c>
      <c r="G799" s="501"/>
      <c r="H799" s="807"/>
      <c r="I799" s="810"/>
      <c r="J799" s="807"/>
      <c r="W799" s="54"/>
      <c r="Y799" s="488"/>
      <c r="Z799" s="51"/>
    </row>
    <row r="800" spans="2:26">
      <c r="B800" s="798"/>
      <c r="C800" s="498" t="s">
        <v>219</v>
      </c>
      <c r="D800" s="499">
        <v>70</v>
      </c>
      <c r="E800" s="500">
        <f t="shared" ref="E800" si="126">IFERROR(INDEX(daftar,MATCH(C800,nmdaftar,0),2),"-")</f>
        <v>46000</v>
      </c>
      <c r="F800" s="500">
        <f t="shared" ref="F800" si="127">IF(E800="-","-",D800*E800)</f>
        <v>3220000</v>
      </c>
      <c r="G800" s="501"/>
      <c r="H800" s="807"/>
      <c r="I800" s="810"/>
      <c r="J800" s="807"/>
      <c r="W800" s="54"/>
      <c r="Y800" s="488"/>
      <c r="Z800" s="51"/>
    </row>
    <row r="801" spans="2:26">
      <c r="B801" s="796">
        <v>45495</v>
      </c>
      <c r="C801" s="498" t="s">
        <v>222</v>
      </c>
      <c r="D801" s="499">
        <v>100</v>
      </c>
      <c r="E801" s="500">
        <v>14600</v>
      </c>
      <c r="F801" s="500">
        <f t="shared" ref="F801:F802" si="128">IF(E801="-","-",D801*E801)</f>
        <v>1460000</v>
      </c>
      <c r="G801" s="501"/>
      <c r="H801" s="807"/>
      <c r="I801" s="810"/>
      <c r="J801" s="807"/>
      <c r="W801" s="54"/>
      <c r="Y801" s="488"/>
      <c r="Z801" s="51"/>
    </row>
    <row r="802" spans="2:26">
      <c r="B802" s="797"/>
      <c r="C802" s="498" t="s">
        <v>224</v>
      </c>
      <c r="D802" s="499">
        <v>200</v>
      </c>
      <c r="E802" s="500">
        <v>14600</v>
      </c>
      <c r="F802" s="500">
        <f t="shared" si="128"/>
        <v>2920000</v>
      </c>
      <c r="G802" s="501"/>
      <c r="H802" s="807"/>
      <c r="I802" s="810"/>
      <c r="J802" s="807"/>
      <c r="W802" s="54"/>
      <c r="Y802" s="488"/>
      <c r="Z802" s="51"/>
    </row>
    <row r="803" spans="2:26">
      <c r="B803" s="798"/>
      <c r="C803" s="498" t="s">
        <v>219</v>
      </c>
      <c r="D803" s="499">
        <v>670</v>
      </c>
      <c r="E803" s="500">
        <f t="shared" ref="E803:E805" si="129">IFERROR(INDEX(daftar,MATCH(C803,nmdaftar,0),2),"-")</f>
        <v>46000</v>
      </c>
      <c r="F803" s="500">
        <f t="shared" ref="F803:F805" si="130">IF(E803="-","-",D803*E803)</f>
        <v>30820000</v>
      </c>
      <c r="G803" s="501"/>
      <c r="H803" s="808"/>
      <c r="I803" s="811"/>
      <c r="J803" s="808"/>
      <c r="W803" s="54"/>
      <c r="Y803" s="488"/>
      <c r="Z803" s="51"/>
    </row>
    <row r="804" spans="2:26">
      <c r="B804" s="496">
        <v>45496</v>
      </c>
      <c r="C804" s="381" t="s">
        <v>219</v>
      </c>
      <c r="D804" s="382">
        <v>325</v>
      </c>
      <c r="E804" s="383">
        <f t="shared" ref="E804" si="131">IFERROR(INDEX(daftar,MATCH(C804,nmdaftar,0),2),"-")</f>
        <v>46000</v>
      </c>
      <c r="F804" s="383">
        <f t="shared" ref="F804" si="132">IF(E804="-","-",D804*E804)</f>
        <v>14950000</v>
      </c>
      <c r="G804" s="384"/>
      <c r="H804" s="691"/>
      <c r="I804" s="688">
        <f>SUM(F804:F806)</f>
        <v>63250000</v>
      </c>
      <c r="J804" s="842"/>
      <c r="W804" s="54"/>
      <c r="Y804" s="489"/>
      <c r="Z804" s="51"/>
    </row>
    <row r="805" spans="2:26">
      <c r="B805" s="496">
        <v>45498</v>
      </c>
      <c r="C805" s="381" t="s">
        <v>219</v>
      </c>
      <c r="D805" s="382">
        <v>330</v>
      </c>
      <c r="E805" s="383">
        <f t="shared" si="129"/>
        <v>46000</v>
      </c>
      <c r="F805" s="383">
        <f t="shared" si="130"/>
        <v>15180000</v>
      </c>
      <c r="G805" s="384"/>
      <c r="H805" s="692"/>
      <c r="I805" s="689"/>
      <c r="J805" s="843"/>
      <c r="W805" s="54"/>
      <c r="Y805" s="479"/>
      <c r="Z805" s="51"/>
    </row>
    <row r="806" spans="2:26">
      <c r="B806" s="496">
        <v>45500</v>
      </c>
      <c r="C806" s="381" t="s">
        <v>219</v>
      </c>
      <c r="D806" s="382">
        <v>720</v>
      </c>
      <c r="E806" s="383">
        <f t="shared" ref="E806" si="133">IFERROR(INDEX(daftar,MATCH(C806,nmdaftar,0),2),"-")</f>
        <v>46000</v>
      </c>
      <c r="F806" s="383">
        <f t="shared" ref="F806" si="134">IF(E806="-","-",D806*E806)</f>
        <v>33120000</v>
      </c>
      <c r="G806" s="384"/>
      <c r="H806" s="693"/>
      <c r="I806" s="690"/>
      <c r="J806" s="844"/>
      <c r="W806" s="54"/>
      <c r="Y806" s="491"/>
      <c r="Z806" s="51"/>
    </row>
    <row r="807" spans="2:26">
      <c r="B807" s="504">
        <v>45502</v>
      </c>
      <c r="C807" s="39" t="s">
        <v>219</v>
      </c>
      <c r="D807" s="323">
        <v>720</v>
      </c>
      <c r="E807" s="41">
        <f t="shared" ref="E807" si="135">IFERROR(INDEX(daftar,MATCH(C807,nmdaftar,0),2),"-")</f>
        <v>46000</v>
      </c>
      <c r="F807" s="41">
        <f t="shared" ref="F807" si="136">IF(E807="-","-",D807*E807)</f>
        <v>33120000</v>
      </c>
      <c r="G807" s="43"/>
      <c r="H807" s="710">
        <v>45530</v>
      </c>
      <c r="I807" s="728">
        <f>SUM(F807:F809)</f>
        <v>99360000</v>
      </c>
      <c r="J807" s="710"/>
      <c r="W807" s="54"/>
      <c r="Y807" s="491"/>
      <c r="Z807" s="51"/>
    </row>
    <row r="808" spans="2:26">
      <c r="B808" s="504">
        <v>45505</v>
      </c>
      <c r="C808" s="39" t="s">
        <v>219</v>
      </c>
      <c r="D808" s="323">
        <v>720</v>
      </c>
      <c r="E808" s="41">
        <f>IFERROR(INDEX(daftar,MATCH(C808,nmdaftar,0),2),"-")</f>
        <v>46000</v>
      </c>
      <c r="F808" s="41">
        <f t="shared" ref="F808" si="137">IF(E808="-","-",D808*E808)</f>
        <v>33120000</v>
      </c>
      <c r="G808" s="43"/>
      <c r="H808" s="731"/>
      <c r="I808" s="729"/>
      <c r="J808" s="731"/>
      <c r="W808" s="54"/>
      <c r="Y808" s="491"/>
      <c r="Z808" s="51"/>
    </row>
    <row r="809" spans="2:26">
      <c r="B809" s="504">
        <v>45509</v>
      </c>
      <c r="C809" s="39" t="s">
        <v>219</v>
      </c>
      <c r="D809" s="323">
        <v>720</v>
      </c>
      <c r="E809" s="41">
        <f>IFERROR(INDEX(daftar,MATCH(C809,nmdaftar,0),2),"-")</f>
        <v>46000</v>
      </c>
      <c r="F809" s="41">
        <f t="shared" ref="F809" si="138">IF(E809="-","-",D809*E809)</f>
        <v>33120000</v>
      </c>
      <c r="G809" s="43"/>
      <c r="H809" s="711"/>
      <c r="I809" s="730"/>
      <c r="J809" s="711"/>
      <c r="W809" s="54"/>
      <c r="Y809" s="494"/>
      <c r="Z809" s="51"/>
    </row>
    <row r="810" spans="2:26">
      <c r="B810" s="505">
        <v>45510</v>
      </c>
      <c r="C810" s="471" t="s">
        <v>219</v>
      </c>
      <c r="D810" s="472">
        <v>325</v>
      </c>
      <c r="E810" s="473">
        <f>IFERROR(INDEX(daftar,MATCH(C810,nmdaftar,0),2),"-")</f>
        <v>46000</v>
      </c>
      <c r="F810" s="473">
        <f t="shared" ref="F810" si="139">IF(E810="-","-",D810*E810)</f>
        <v>14950000</v>
      </c>
      <c r="G810" s="474"/>
      <c r="H810" s="743">
        <v>45532</v>
      </c>
      <c r="I810" s="740">
        <f>SUM(F810:F813)</f>
        <v>50150000</v>
      </c>
      <c r="J810" s="743"/>
      <c r="W810" s="54"/>
      <c r="Y810" s="494"/>
      <c r="Z810" s="51"/>
    </row>
    <row r="811" spans="2:26">
      <c r="B811" s="800">
        <v>45511</v>
      </c>
      <c r="C811" s="471" t="s">
        <v>222</v>
      </c>
      <c r="D811" s="472">
        <v>200</v>
      </c>
      <c r="E811" s="473">
        <v>14600</v>
      </c>
      <c r="F811" s="473">
        <f t="shared" ref="F811:F812" si="140">IF(E811="-","-",D811*E811)</f>
        <v>2920000</v>
      </c>
      <c r="G811" s="474"/>
      <c r="H811" s="744"/>
      <c r="I811" s="741"/>
      <c r="J811" s="744"/>
      <c r="W811" s="54"/>
      <c r="Y811" s="494"/>
      <c r="Z811" s="51"/>
    </row>
    <row r="812" spans="2:26">
      <c r="B812" s="801"/>
      <c r="C812" s="471" t="s">
        <v>224</v>
      </c>
      <c r="D812" s="472">
        <v>100</v>
      </c>
      <c r="E812" s="473">
        <v>14600</v>
      </c>
      <c r="F812" s="473">
        <f t="shared" si="140"/>
        <v>1460000</v>
      </c>
      <c r="G812" s="474"/>
      <c r="H812" s="744"/>
      <c r="I812" s="741"/>
      <c r="J812" s="744"/>
      <c r="W812" s="54"/>
      <c r="Y812" s="494"/>
      <c r="Z812" s="51"/>
    </row>
    <row r="813" spans="2:26">
      <c r="B813" s="802"/>
      <c r="C813" s="471" t="s">
        <v>219</v>
      </c>
      <c r="D813" s="472">
        <v>670</v>
      </c>
      <c r="E813" s="473">
        <f>IFERROR(INDEX(daftar,MATCH(C813,nmdaftar,0),2),"-")</f>
        <v>46000</v>
      </c>
      <c r="F813" s="473">
        <f t="shared" ref="F813" si="141">IF(E813="-","-",D813*E813)</f>
        <v>30820000</v>
      </c>
      <c r="G813" s="474"/>
      <c r="H813" s="745"/>
      <c r="I813" s="742"/>
      <c r="J813" s="745"/>
      <c r="W813" s="54"/>
      <c r="Y813" s="494"/>
      <c r="Z813" s="51"/>
    </row>
    <row r="814" spans="2:26">
      <c r="B814" s="508">
        <v>45513</v>
      </c>
      <c r="C814" s="39" t="s">
        <v>219</v>
      </c>
      <c r="D814" s="323">
        <v>325</v>
      </c>
      <c r="E814" s="41">
        <f>IFERROR(INDEX(daftar,MATCH(C814,nmdaftar,0),2),"-")</f>
        <v>46000</v>
      </c>
      <c r="F814" s="41">
        <f t="shared" ref="F814" si="142">IF(E814="-","-",D814*E814)</f>
        <v>14950000</v>
      </c>
      <c r="G814" s="43"/>
      <c r="H814" s="710">
        <v>45541</v>
      </c>
      <c r="I814" s="728">
        <f>SUM(F814:F818)</f>
        <v>99110000</v>
      </c>
      <c r="J814" s="732"/>
      <c r="W814" s="54"/>
      <c r="Y814" s="494"/>
      <c r="Z814" s="51"/>
    </row>
    <row r="815" spans="2:26">
      <c r="B815" s="702">
        <v>45514</v>
      </c>
      <c r="C815" s="39" t="s">
        <v>226</v>
      </c>
      <c r="D815" s="323">
        <v>60</v>
      </c>
      <c r="E815" s="41">
        <f t="shared" ref="E815" si="143">IFERROR(INDEX(daftar,MATCH(C815,nmdaftar,0),2),"-")</f>
        <v>95500</v>
      </c>
      <c r="F815" s="41">
        <f t="shared" ref="F815" si="144">IF(E815="-","-",D815*E815)</f>
        <v>5730000</v>
      </c>
      <c r="G815" s="43"/>
      <c r="H815" s="731"/>
      <c r="I815" s="729"/>
      <c r="J815" s="733"/>
      <c r="W815" s="54"/>
      <c r="Y815" s="494"/>
      <c r="Z815" s="51"/>
    </row>
    <row r="816" spans="2:26">
      <c r="B816" s="704"/>
      <c r="C816" s="39" t="s">
        <v>219</v>
      </c>
      <c r="D816" s="323">
        <v>630</v>
      </c>
      <c r="E816" s="41">
        <f>IFERROR(INDEX(daftar,MATCH(C816,nmdaftar,0),2),"-")</f>
        <v>46000</v>
      </c>
      <c r="F816" s="41">
        <f t="shared" ref="F816" si="145">IF(E816="-","-",D816*E816)</f>
        <v>28980000</v>
      </c>
      <c r="G816" s="43"/>
      <c r="H816" s="731"/>
      <c r="I816" s="729"/>
      <c r="J816" s="733"/>
      <c r="W816" s="54"/>
      <c r="Y816" s="494"/>
      <c r="Z816" s="51"/>
    </row>
    <row r="817" spans="2:26">
      <c r="B817" s="508">
        <v>45517</v>
      </c>
      <c r="C817" s="39" t="s">
        <v>219</v>
      </c>
      <c r="D817" s="323">
        <v>720</v>
      </c>
      <c r="E817" s="41">
        <f>IFERROR(INDEX(daftar,MATCH(C817,nmdaftar,0),2),"-")</f>
        <v>46000</v>
      </c>
      <c r="F817" s="41">
        <f t="shared" ref="F817" si="146">IF(E817="-","-",D817*E817)</f>
        <v>33120000</v>
      </c>
      <c r="G817" s="43"/>
      <c r="H817" s="731"/>
      <c r="I817" s="729"/>
      <c r="J817" s="733"/>
      <c r="W817" s="54"/>
      <c r="Y817" s="495"/>
      <c r="Z817" s="51"/>
    </row>
    <row r="818" spans="2:26">
      <c r="B818" s="508">
        <v>45521</v>
      </c>
      <c r="C818" s="39" t="s">
        <v>219</v>
      </c>
      <c r="D818" s="323">
        <v>355</v>
      </c>
      <c r="E818" s="41">
        <f>IFERROR(INDEX(daftar,MATCH(C818,nmdaftar,0),2),"-")</f>
        <v>46000</v>
      </c>
      <c r="F818" s="41">
        <f t="shared" ref="F818" si="147">IF(E818="-","-",D818*E818)</f>
        <v>16330000</v>
      </c>
      <c r="G818" s="43"/>
      <c r="H818" s="711"/>
      <c r="I818" s="730"/>
      <c r="J818" s="734"/>
      <c r="W818" s="54"/>
      <c r="Y818" s="495"/>
      <c r="Z818" s="51"/>
    </row>
    <row r="819" spans="2:26">
      <c r="B819" s="511">
        <v>45521</v>
      </c>
      <c r="C819" s="471" t="s">
        <v>226</v>
      </c>
      <c r="D819" s="472">
        <v>171</v>
      </c>
      <c r="E819" s="473">
        <f t="shared" ref="E819" si="148">IFERROR(INDEX(daftar,MATCH(C819,nmdaftar,0),2),"-")</f>
        <v>95500</v>
      </c>
      <c r="F819" s="473">
        <f t="shared" ref="F819" si="149">IF(E819="-","-",D819*E819)</f>
        <v>16330500</v>
      </c>
      <c r="G819" s="474"/>
      <c r="H819" s="743">
        <v>45548</v>
      </c>
      <c r="I819" s="740">
        <f>SUM(F819:F823)</f>
        <v>71276500</v>
      </c>
      <c r="J819" s="746"/>
      <c r="W819" s="54"/>
      <c r="Y819" s="495"/>
      <c r="Z819" s="51"/>
    </row>
    <row r="820" spans="2:26">
      <c r="B820" s="800">
        <v>45523</v>
      </c>
      <c r="C820" s="471" t="s">
        <v>222</v>
      </c>
      <c r="D820" s="472">
        <v>400</v>
      </c>
      <c r="E820" s="473">
        <v>14600</v>
      </c>
      <c r="F820" s="473">
        <f t="shared" ref="F820:F822" si="150">IF(E820="-","-",D820*E820)</f>
        <v>5840000</v>
      </c>
      <c r="G820" s="474"/>
      <c r="H820" s="744"/>
      <c r="I820" s="741"/>
      <c r="J820" s="747"/>
      <c r="W820" s="54"/>
      <c r="Y820" s="495"/>
      <c r="Z820" s="51"/>
    </row>
    <row r="821" spans="2:26">
      <c r="B821" s="801"/>
      <c r="C821" s="471" t="s">
        <v>224</v>
      </c>
      <c r="D821" s="472">
        <v>100</v>
      </c>
      <c r="E821" s="473">
        <v>14600</v>
      </c>
      <c r="F821" s="473">
        <f t="shared" si="150"/>
        <v>1460000</v>
      </c>
      <c r="G821" s="474"/>
      <c r="H821" s="744"/>
      <c r="I821" s="741"/>
      <c r="J821" s="747"/>
      <c r="W821" s="54"/>
      <c r="Y821" s="495"/>
      <c r="Z821" s="51"/>
    </row>
    <row r="822" spans="2:26">
      <c r="B822" s="802"/>
      <c r="C822" s="471" t="s">
        <v>220</v>
      </c>
      <c r="D822" s="472">
        <v>538</v>
      </c>
      <c r="E822" s="473">
        <f t="shared" ref="E822" si="151">IFERROR(INDEX(daftar,MATCH(C822,nmdaftar,0),2),"-")</f>
        <v>27000</v>
      </c>
      <c r="F822" s="473">
        <f t="shared" si="150"/>
        <v>14526000</v>
      </c>
      <c r="G822" s="474"/>
      <c r="H822" s="744"/>
      <c r="I822" s="741"/>
      <c r="J822" s="747"/>
      <c r="W822" s="54"/>
      <c r="Y822" s="495"/>
      <c r="Z822" s="51"/>
    </row>
    <row r="823" spans="2:26">
      <c r="B823" s="511">
        <v>45523</v>
      </c>
      <c r="C823" s="471" t="s">
        <v>219</v>
      </c>
      <c r="D823" s="472">
        <v>720</v>
      </c>
      <c r="E823" s="473">
        <f>IFERROR(INDEX(daftar,MATCH(C823,nmdaftar,0),2),"-")</f>
        <v>46000</v>
      </c>
      <c r="F823" s="473">
        <f t="shared" ref="F823" si="152">IF(E823="-","-",D823*E823)</f>
        <v>33120000</v>
      </c>
      <c r="G823" s="474"/>
      <c r="H823" s="745"/>
      <c r="I823" s="742"/>
      <c r="J823" s="748"/>
      <c r="W823" s="54"/>
      <c r="Y823" s="495"/>
      <c r="Z823" s="51"/>
    </row>
    <row r="824" spans="2:26">
      <c r="B824" s="510">
        <v>45524</v>
      </c>
      <c r="C824" s="39" t="s">
        <v>219</v>
      </c>
      <c r="D824" s="323">
        <v>315</v>
      </c>
      <c r="E824" s="41">
        <f>IFERROR(INDEX(daftar,MATCH(C824,nmdaftar,0),2),"-")</f>
        <v>46000</v>
      </c>
      <c r="F824" s="41">
        <f t="shared" ref="F824" si="153">IF(E824="-","-",D824*E824)</f>
        <v>14490000</v>
      </c>
      <c r="G824" s="43"/>
      <c r="H824" s="710">
        <v>45556</v>
      </c>
      <c r="I824" s="728">
        <f>SUM(F824:F831)</f>
        <v>130890000</v>
      </c>
      <c r="J824" s="732"/>
      <c r="W824" s="54"/>
      <c r="Y824" s="497"/>
      <c r="Z824" s="51"/>
    </row>
    <row r="825" spans="2:26">
      <c r="B825" s="702">
        <v>45525</v>
      </c>
      <c r="C825" s="39" t="s">
        <v>219</v>
      </c>
      <c r="D825" s="323">
        <v>225</v>
      </c>
      <c r="E825" s="41">
        <f>IFERROR(INDEX(daftar,MATCH(C825,nmdaftar,0),2),"-")</f>
        <v>46000</v>
      </c>
      <c r="F825" s="41">
        <f t="shared" ref="F825" si="154">IF(E825="-","-",D825*E825)</f>
        <v>10350000</v>
      </c>
      <c r="G825" s="43"/>
      <c r="H825" s="731"/>
      <c r="I825" s="729"/>
      <c r="J825" s="733"/>
      <c r="W825" s="54"/>
      <c r="Y825" s="497"/>
      <c r="Z825" s="51"/>
    </row>
    <row r="826" spans="2:26">
      <c r="B826" s="703"/>
      <c r="C826" s="39" t="s">
        <v>222</v>
      </c>
      <c r="D826" s="323">
        <v>200</v>
      </c>
      <c r="E826" s="41">
        <v>14600</v>
      </c>
      <c r="F826" s="41">
        <f t="shared" ref="F826:F827" si="155">IF(E826="-","-",D826*E826)</f>
        <v>2920000</v>
      </c>
      <c r="G826" s="43"/>
      <c r="H826" s="731"/>
      <c r="I826" s="729"/>
      <c r="J826" s="733"/>
      <c r="W826" s="54"/>
      <c r="Y826" s="497"/>
      <c r="Z826" s="51"/>
    </row>
    <row r="827" spans="2:26">
      <c r="B827" s="704"/>
      <c r="C827" s="39" t="s">
        <v>224</v>
      </c>
      <c r="D827" s="323">
        <v>400</v>
      </c>
      <c r="E827" s="41">
        <v>14600</v>
      </c>
      <c r="F827" s="41">
        <f t="shared" si="155"/>
        <v>5840000</v>
      </c>
      <c r="G827" s="43"/>
      <c r="H827" s="731"/>
      <c r="I827" s="729"/>
      <c r="J827" s="733"/>
      <c r="W827" s="54"/>
      <c r="Y827" s="497"/>
      <c r="Z827" s="51"/>
    </row>
    <row r="828" spans="2:26">
      <c r="B828" s="510">
        <v>45526</v>
      </c>
      <c r="C828" s="39" t="s">
        <v>219</v>
      </c>
      <c r="D828" s="323">
        <v>720</v>
      </c>
      <c r="E828" s="41">
        <f t="shared" ref="E828:E834" si="156">IFERROR(INDEX(daftar,MATCH(C828,nmdaftar,0),2),"-")</f>
        <v>46000</v>
      </c>
      <c r="F828" s="41">
        <f t="shared" ref="F828" si="157">IF(E828="-","-",D828*E828)</f>
        <v>33120000</v>
      </c>
      <c r="G828" s="43"/>
      <c r="H828" s="731"/>
      <c r="I828" s="729"/>
      <c r="J828" s="733"/>
      <c r="W828" s="54"/>
      <c r="Y828" s="497"/>
      <c r="Z828" s="51"/>
    </row>
    <row r="829" spans="2:26">
      <c r="B829" s="510">
        <v>45528</v>
      </c>
      <c r="C829" s="39" t="s">
        <v>219</v>
      </c>
      <c r="D829" s="323">
        <v>350</v>
      </c>
      <c r="E829" s="41">
        <f t="shared" si="156"/>
        <v>46000</v>
      </c>
      <c r="F829" s="41">
        <f t="shared" ref="F829" si="158">IF(E829="-","-",D829*E829)</f>
        <v>16100000</v>
      </c>
      <c r="G829" s="43"/>
      <c r="H829" s="731"/>
      <c r="I829" s="729"/>
      <c r="J829" s="733"/>
      <c r="W829" s="54"/>
      <c r="Y829" s="497"/>
      <c r="Z829" s="51"/>
    </row>
    <row r="830" spans="2:26">
      <c r="B830" s="510">
        <v>45531</v>
      </c>
      <c r="C830" s="39" t="s">
        <v>219</v>
      </c>
      <c r="D830" s="323">
        <v>720</v>
      </c>
      <c r="E830" s="41">
        <f t="shared" si="156"/>
        <v>46000</v>
      </c>
      <c r="F830" s="41">
        <f t="shared" ref="F830" si="159">IF(E830="-","-",D830*E830)</f>
        <v>33120000</v>
      </c>
      <c r="G830" s="43"/>
      <c r="H830" s="731"/>
      <c r="I830" s="729"/>
      <c r="J830" s="733"/>
      <c r="W830" s="54"/>
      <c r="Y830" s="497"/>
      <c r="Z830" s="51"/>
    </row>
    <row r="831" spans="2:26">
      <c r="B831" s="510">
        <v>45532</v>
      </c>
      <c r="C831" s="39" t="s">
        <v>219</v>
      </c>
      <c r="D831" s="323">
        <v>325</v>
      </c>
      <c r="E831" s="41">
        <f t="shared" si="156"/>
        <v>46000</v>
      </c>
      <c r="F831" s="41">
        <f t="shared" ref="F831" si="160">IF(E831="-","-",D831*E831)</f>
        <v>14950000</v>
      </c>
      <c r="G831" s="43"/>
      <c r="H831" s="711"/>
      <c r="I831" s="730"/>
      <c r="J831" s="734"/>
      <c r="W831" s="54"/>
      <c r="Y831" s="503"/>
      <c r="Z831" s="51"/>
    </row>
    <row r="832" spans="2:26">
      <c r="B832" s="516">
        <v>45534</v>
      </c>
      <c r="C832" s="191" t="s">
        <v>219</v>
      </c>
      <c r="D832" s="434">
        <v>720</v>
      </c>
      <c r="E832" s="193">
        <f t="shared" si="156"/>
        <v>46000</v>
      </c>
      <c r="F832" s="193">
        <f t="shared" ref="F832" si="161">IF(E832="-","-",D832*E832)</f>
        <v>33120000</v>
      </c>
      <c r="G832" s="272"/>
      <c r="H832" s="520">
        <v>45567</v>
      </c>
      <c r="I832" s="521">
        <f>F832</f>
        <v>33120000</v>
      </c>
      <c r="J832" s="517"/>
      <c r="W832" s="54"/>
      <c r="Y832" s="506"/>
      <c r="Z832" s="51"/>
    </row>
    <row r="833" spans="2:26">
      <c r="B833" s="519">
        <v>45537</v>
      </c>
      <c r="C833" s="39" t="s">
        <v>219</v>
      </c>
      <c r="D833" s="323">
        <v>340</v>
      </c>
      <c r="E833" s="41">
        <f t="shared" si="156"/>
        <v>46000</v>
      </c>
      <c r="F833" s="41">
        <f t="shared" ref="F833" si="162">IF(E833="-","-",D833*E833)</f>
        <v>15640000</v>
      </c>
      <c r="G833" s="43"/>
      <c r="H833" s="526"/>
      <c r="I833" s="728">
        <f>SUM(F833:F841)</f>
        <v>132442000</v>
      </c>
      <c r="J833" s="732"/>
      <c r="W833" s="54"/>
      <c r="Y833" s="506"/>
      <c r="Z833" s="51"/>
    </row>
    <row r="834" spans="2:26">
      <c r="B834" s="519">
        <v>45538</v>
      </c>
      <c r="C834" s="39" t="s">
        <v>219</v>
      </c>
      <c r="D834" s="323">
        <v>340</v>
      </c>
      <c r="E834" s="41">
        <f t="shared" si="156"/>
        <v>46000</v>
      </c>
      <c r="F834" s="41">
        <f t="shared" ref="F834" si="163">IF(E834="-","-",D834*E834)</f>
        <v>15640000</v>
      </c>
      <c r="G834" s="43"/>
      <c r="H834" s="526"/>
      <c r="I834" s="729"/>
      <c r="J834" s="733"/>
      <c r="W834" s="54"/>
      <c r="Y834" s="506"/>
      <c r="Z834" s="51"/>
    </row>
    <row r="835" spans="2:26">
      <c r="B835" s="519">
        <v>45540</v>
      </c>
      <c r="C835" s="39" t="s">
        <v>219</v>
      </c>
      <c r="D835" s="323">
        <v>720</v>
      </c>
      <c r="E835" s="41">
        <f t="shared" ref="E835" si="164">IFERROR(INDEX(daftar,MATCH(C835,nmdaftar,0),2),"-")</f>
        <v>46000</v>
      </c>
      <c r="F835" s="41">
        <f t="shared" ref="F835" si="165">IF(E835="-","-",D835*E835)</f>
        <v>33120000</v>
      </c>
      <c r="G835" s="43"/>
      <c r="H835" s="526"/>
      <c r="I835" s="729"/>
      <c r="J835" s="733"/>
      <c r="W835" s="54"/>
      <c r="Y835" s="507"/>
      <c r="Z835" s="51"/>
    </row>
    <row r="836" spans="2:26">
      <c r="B836" s="702">
        <v>45541</v>
      </c>
      <c r="C836" s="39" t="s">
        <v>220</v>
      </c>
      <c r="D836" s="323">
        <v>566</v>
      </c>
      <c r="E836" s="41">
        <f t="shared" ref="E836" si="166">IFERROR(INDEX(daftar,MATCH(C836,nmdaftar,0),2),"-")</f>
        <v>27000</v>
      </c>
      <c r="F836" s="41">
        <f t="shared" ref="F836" si="167">IF(E836="-","-",D836*E836)</f>
        <v>15282000</v>
      </c>
      <c r="G836" s="43"/>
      <c r="H836" s="526"/>
      <c r="I836" s="729"/>
      <c r="J836" s="733"/>
      <c r="W836" s="54"/>
      <c r="Y836" s="507"/>
      <c r="Z836" s="51"/>
    </row>
    <row r="837" spans="2:26">
      <c r="B837" s="704"/>
      <c r="C837" s="39" t="s">
        <v>219</v>
      </c>
      <c r="D837" s="323">
        <v>60</v>
      </c>
      <c r="E837" s="41">
        <f t="shared" ref="E837" si="168">IFERROR(INDEX(daftar,MATCH(C837,nmdaftar,0),2),"-")</f>
        <v>46000</v>
      </c>
      <c r="F837" s="41">
        <f t="shared" ref="F837" si="169">IF(E837="-","-",D837*E837)</f>
        <v>2760000</v>
      </c>
      <c r="G837" s="43"/>
      <c r="H837" s="526"/>
      <c r="I837" s="729"/>
      <c r="J837" s="733"/>
      <c r="L837" s="450"/>
      <c r="W837" s="54"/>
      <c r="Y837" s="507"/>
      <c r="Z837" s="51"/>
    </row>
    <row r="838" spans="2:26">
      <c r="B838" s="702">
        <v>45541</v>
      </c>
      <c r="C838" s="39" t="s">
        <v>222</v>
      </c>
      <c r="D838" s="323">
        <v>200</v>
      </c>
      <c r="E838" s="41">
        <v>14600</v>
      </c>
      <c r="F838" s="41">
        <f t="shared" ref="F838:F839" si="170">IF(E838="-","-",D838*E838)</f>
        <v>2920000</v>
      </c>
      <c r="G838" s="43"/>
      <c r="H838" s="526"/>
      <c r="I838" s="729"/>
      <c r="J838" s="733"/>
      <c r="W838" s="54"/>
      <c r="Y838" s="507"/>
      <c r="Z838" s="51"/>
    </row>
    <row r="839" spans="2:26">
      <c r="B839" s="703"/>
      <c r="C839" s="39" t="s">
        <v>224</v>
      </c>
      <c r="D839" s="323">
        <v>200</v>
      </c>
      <c r="E839" s="41">
        <v>14600</v>
      </c>
      <c r="F839" s="41">
        <f t="shared" si="170"/>
        <v>2920000</v>
      </c>
      <c r="G839" s="43"/>
      <c r="H839" s="526"/>
      <c r="I839" s="729"/>
      <c r="J839" s="733"/>
      <c r="W839" s="54"/>
      <c r="Y839" s="507"/>
      <c r="Z839" s="51"/>
    </row>
    <row r="840" spans="2:26">
      <c r="B840" s="704"/>
      <c r="C840" s="39" t="s">
        <v>219</v>
      </c>
      <c r="D840" s="323">
        <v>240</v>
      </c>
      <c r="E840" s="41">
        <f t="shared" ref="E840" si="171">IFERROR(INDEX(daftar,MATCH(C840,nmdaftar,0),2),"-")</f>
        <v>46000</v>
      </c>
      <c r="F840" s="41">
        <f t="shared" ref="F840" si="172">IF(E840="-","-",D840*E840)</f>
        <v>11040000</v>
      </c>
      <c r="G840" s="43"/>
      <c r="H840" s="526"/>
      <c r="I840" s="729"/>
      <c r="J840" s="733"/>
      <c r="W840" s="54"/>
      <c r="Y840" s="507"/>
      <c r="Z840" s="51"/>
    </row>
    <row r="841" spans="2:26">
      <c r="B841" s="519">
        <v>45544</v>
      </c>
      <c r="C841" s="39" t="s">
        <v>219</v>
      </c>
      <c r="D841" s="323">
        <v>720</v>
      </c>
      <c r="E841" s="41">
        <f t="shared" ref="E841" si="173">IFERROR(INDEX(daftar,MATCH(C841,nmdaftar,0),2),"-")</f>
        <v>46000</v>
      </c>
      <c r="F841" s="41">
        <f t="shared" ref="F841" si="174">IF(E841="-","-",D841*E841)</f>
        <v>33120000</v>
      </c>
      <c r="G841" s="43"/>
      <c r="H841" s="526"/>
      <c r="I841" s="730"/>
      <c r="J841" s="734"/>
      <c r="W841" s="54"/>
      <c r="Y841" s="509"/>
      <c r="Z841" s="51"/>
    </row>
    <row r="842" spans="2:26">
      <c r="B842" s="530">
        <v>45545</v>
      </c>
      <c r="C842" s="232" t="s">
        <v>219</v>
      </c>
      <c r="D842" s="327">
        <v>325</v>
      </c>
      <c r="E842" s="234">
        <f t="shared" ref="E842" si="175">IFERROR(INDEX(daftar,MATCH(C842,nmdaftar,0),2),"-")</f>
        <v>46000</v>
      </c>
      <c r="F842" s="234">
        <f t="shared" ref="F842" si="176">IF(E842="-","-",D842*E842)</f>
        <v>14950000</v>
      </c>
      <c r="G842" s="276"/>
      <c r="H842" s="653" t="s">
        <v>340</v>
      </c>
      <c r="I842" s="650">
        <f>SUM(F842:F844)</f>
        <v>64782500</v>
      </c>
      <c r="J842" s="674"/>
      <c r="W842" s="54"/>
      <c r="Y842" s="509"/>
      <c r="Z842" s="51"/>
    </row>
    <row r="843" spans="2:26">
      <c r="B843" s="530">
        <v>45546</v>
      </c>
      <c r="C843" s="232" t="s">
        <v>219</v>
      </c>
      <c r="D843" s="327">
        <v>720</v>
      </c>
      <c r="E843" s="234">
        <f t="shared" ref="E843" si="177">IFERROR(INDEX(daftar,MATCH(C843,nmdaftar,0),2),"-")</f>
        <v>46000</v>
      </c>
      <c r="F843" s="234">
        <f t="shared" ref="F843" si="178">IF(E843="-","-",D843*E843)</f>
        <v>33120000</v>
      </c>
      <c r="G843" s="276"/>
      <c r="H843" s="654"/>
      <c r="I843" s="651"/>
      <c r="J843" s="752"/>
      <c r="W843" s="54"/>
      <c r="Y843" s="509"/>
      <c r="Z843" s="51"/>
    </row>
    <row r="844" spans="2:26">
      <c r="B844" s="530">
        <v>45547</v>
      </c>
      <c r="C844" s="232" t="s">
        <v>226</v>
      </c>
      <c r="D844" s="327">
        <v>175</v>
      </c>
      <c r="E844" s="234">
        <f t="shared" ref="E844" si="179">IFERROR(INDEX(daftar,MATCH(C844,nmdaftar,0),2),"-")</f>
        <v>95500</v>
      </c>
      <c r="F844" s="234">
        <f t="shared" ref="F844" si="180">IF(E844="-","-",D844*E844)</f>
        <v>16712500</v>
      </c>
      <c r="G844" s="276"/>
      <c r="H844" s="655"/>
      <c r="I844" s="652"/>
      <c r="J844" s="675"/>
      <c r="W844" s="54"/>
      <c r="Y844" s="509"/>
      <c r="Z844" s="51"/>
    </row>
    <row r="845" spans="2:26">
      <c r="B845" s="529">
        <v>45548</v>
      </c>
      <c r="C845" s="291" t="s">
        <v>226</v>
      </c>
      <c r="D845" s="435">
        <v>341</v>
      </c>
      <c r="E845" s="293">
        <f t="shared" ref="E845" si="181">IFERROR(INDEX(daftar,MATCH(C845,nmdaftar,0),2),"-")</f>
        <v>95500</v>
      </c>
      <c r="F845" s="293">
        <f t="shared" ref="F845" si="182">IF(E845="-","-",D845*E845)</f>
        <v>32565500</v>
      </c>
      <c r="G845" s="295"/>
      <c r="H845" s="658">
        <v>45594</v>
      </c>
      <c r="I845" s="656">
        <f>SUM(F845:F847)</f>
        <v>80635500</v>
      </c>
      <c r="J845" s="671"/>
      <c r="W845" s="54"/>
      <c r="Y845" s="509"/>
      <c r="Z845" s="51"/>
    </row>
    <row r="846" spans="2:26">
      <c r="B846" s="529">
        <v>45549</v>
      </c>
      <c r="C846" s="291" t="s">
        <v>219</v>
      </c>
      <c r="D846" s="435">
        <v>325</v>
      </c>
      <c r="E846" s="293">
        <f t="shared" ref="E846" si="183">IFERROR(INDEX(daftar,MATCH(C846,nmdaftar,0),2),"-")</f>
        <v>46000</v>
      </c>
      <c r="F846" s="293">
        <f t="shared" ref="F846" si="184">IF(E846="-","-",D846*E846)</f>
        <v>14950000</v>
      </c>
      <c r="G846" s="295"/>
      <c r="H846" s="670"/>
      <c r="I846" s="669"/>
      <c r="J846" s="672"/>
      <c r="W846" s="54"/>
      <c r="Y846" s="509"/>
      <c r="Z846" s="51"/>
    </row>
    <row r="847" spans="2:26">
      <c r="B847" s="529">
        <v>45553</v>
      </c>
      <c r="C847" s="291" t="s">
        <v>219</v>
      </c>
      <c r="D847" s="435">
        <v>720</v>
      </c>
      <c r="E847" s="293">
        <f t="shared" ref="E847" si="185">IFERROR(INDEX(daftar,MATCH(C847,nmdaftar,0),2),"-")</f>
        <v>46000</v>
      </c>
      <c r="F847" s="293">
        <f t="shared" ref="F847" si="186">IF(E847="-","-",D847*E847)</f>
        <v>33120000</v>
      </c>
      <c r="G847" s="295"/>
      <c r="H847" s="659"/>
      <c r="I847" s="657"/>
      <c r="J847" s="673"/>
      <c r="W847" s="54"/>
      <c r="Y847" s="509"/>
      <c r="Z847" s="51"/>
    </row>
    <row r="848" spans="2:26">
      <c r="B848" s="532">
        <v>45556</v>
      </c>
      <c r="C848" s="191" t="s">
        <v>219</v>
      </c>
      <c r="D848" s="434">
        <v>325</v>
      </c>
      <c r="E848" s="193">
        <f t="shared" ref="E848" si="187">IFERROR(INDEX(daftar,MATCH(C848,nmdaftar,0),2),"-")</f>
        <v>46000</v>
      </c>
      <c r="F848" s="193">
        <f t="shared" ref="F848" si="188">IF(E848="-","-",D848*E848)</f>
        <v>14950000</v>
      </c>
      <c r="G848" s="272"/>
      <c r="H848" s="663">
        <v>45602</v>
      </c>
      <c r="I848" s="660">
        <f>SUM(F848:F852)</f>
        <v>49010000</v>
      </c>
      <c r="J848" s="666"/>
      <c r="W848" s="54"/>
      <c r="Y848" s="512"/>
      <c r="Z848" s="51"/>
    </row>
    <row r="849" spans="2:26">
      <c r="B849" s="532">
        <v>45558</v>
      </c>
      <c r="C849" s="191" t="s">
        <v>219</v>
      </c>
      <c r="D849" s="434">
        <v>325</v>
      </c>
      <c r="E849" s="193">
        <f t="shared" ref="E849" si="189">IFERROR(INDEX(daftar,MATCH(C849,nmdaftar,0),2),"-")</f>
        <v>46000</v>
      </c>
      <c r="F849" s="193">
        <f t="shared" ref="F849" si="190">IF(E849="-","-",D849*E849)</f>
        <v>14950000</v>
      </c>
      <c r="G849" s="272"/>
      <c r="H849" s="664"/>
      <c r="I849" s="661"/>
      <c r="J849" s="667"/>
      <c r="W849" s="54"/>
      <c r="Y849" s="512"/>
      <c r="Z849" s="51"/>
    </row>
    <row r="850" spans="2:26">
      <c r="B850" s="698">
        <v>45558</v>
      </c>
      <c r="C850" s="191" t="s">
        <v>222</v>
      </c>
      <c r="D850" s="434">
        <v>400</v>
      </c>
      <c r="E850" s="193">
        <v>14600</v>
      </c>
      <c r="F850" s="193">
        <f t="shared" ref="F850:F852" si="191">IF(E850="-","-",D850*E850)</f>
        <v>5840000</v>
      </c>
      <c r="G850" s="272"/>
      <c r="H850" s="664"/>
      <c r="I850" s="661"/>
      <c r="J850" s="667"/>
      <c r="W850" s="54"/>
      <c r="Y850" s="512"/>
      <c r="Z850" s="51"/>
    </row>
    <row r="851" spans="2:26">
      <c r="B851" s="799"/>
      <c r="C851" s="191" t="s">
        <v>224</v>
      </c>
      <c r="D851" s="434">
        <v>200</v>
      </c>
      <c r="E851" s="193">
        <v>14600</v>
      </c>
      <c r="F851" s="193">
        <f t="shared" si="191"/>
        <v>2920000</v>
      </c>
      <c r="G851" s="272"/>
      <c r="H851" s="664"/>
      <c r="I851" s="661"/>
      <c r="J851" s="667"/>
      <c r="W851" s="54"/>
      <c r="Y851" s="512"/>
      <c r="Z851" s="51"/>
    </row>
    <row r="852" spans="2:26">
      <c r="B852" s="699"/>
      <c r="C852" s="191" t="s">
        <v>219</v>
      </c>
      <c r="D852" s="434">
        <v>225</v>
      </c>
      <c r="E852" s="193">
        <f t="shared" ref="E852" si="192">IFERROR(INDEX(daftar,MATCH(C852,nmdaftar,0),2),"-")</f>
        <v>46000</v>
      </c>
      <c r="F852" s="193">
        <f t="shared" si="191"/>
        <v>10350000</v>
      </c>
      <c r="G852" s="272"/>
      <c r="H852" s="665"/>
      <c r="I852" s="662"/>
      <c r="J852" s="668"/>
      <c r="W852" s="54"/>
      <c r="Y852" s="512"/>
      <c r="Z852" s="51"/>
    </row>
    <row r="853" spans="2:26">
      <c r="B853" s="702">
        <v>45560</v>
      </c>
      <c r="C853" s="39" t="s">
        <v>222</v>
      </c>
      <c r="D853" s="323">
        <v>100</v>
      </c>
      <c r="E853" s="41">
        <v>14600</v>
      </c>
      <c r="F853" s="41">
        <f t="shared" ref="F853:F855" si="193">IF(E853="-","-",D853*E853)</f>
        <v>1460000</v>
      </c>
      <c r="G853" s="43"/>
      <c r="H853" s="710">
        <v>45604</v>
      </c>
      <c r="I853" s="728">
        <f>SUM(F853:F861)</f>
        <v>66480000</v>
      </c>
      <c r="J853" s="732"/>
      <c r="W853" s="54"/>
      <c r="Y853" s="512"/>
      <c r="Z853" s="51"/>
    </row>
    <row r="854" spans="2:26">
      <c r="B854" s="703"/>
      <c r="C854" s="39" t="s">
        <v>224</v>
      </c>
      <c r="D854" s="323">
        <v>300</v>
      </c>
      <c r="E854" s="41">
        <v>14600</v>
      </c>
      <c r="F854" s="41">
        <f t="shared" si="193"/>
        <v>4380000</v>
      </c>
      <c r="G854" s="43"/>
      <c r="H854" s="731"/>
      <c r="I854" s="729"/>
      <c r="J854" s="733"/>
      <c r="W854" s="54"/>
      <c r="Y854" s="512"/>
      <c r="Z854" s="51"/>
    </row>
    <row r="855" spans="2:26">
      <c r="B855" s="704"/>
      <c r="C855" s="39" t="s">
        <v>219</v>
      </c>
      <c r="D855" s="323">
        <v>250</v>
      </c>
      <c r="E855" s="41">
        <f t="shared" ref="E855" si="194">IFERROR(INDEX(daftar,MATCH(C855,nmdaftar,0),2),"-")</f>
        <v>46000</v>
      </c>
      <c r="F855" s="41">
        <f t="shared" si="193"/>
        <v>11500000</v>
      </c>
      <c r="G855" s="43"/>
      <c r="H855" s="731"/>
      <c r="I855" s="729"/>
      <c r="J855" s="733"/>
      <c r="L855" s="450"/>
      <c r="W855" s="54"/>
      <c r="Y855" s="512"/>
      <c r="Z855" s="51"/>
    </row>
    <row r="856" spans="2:26">
      <c r="B856" s="534">
        <v>45560</v>
      </c>
      <c r="C856" s="39" t="s">
        <v>219</v>
      </c>
      <c r="D856" s="323">
        <v>370</v>
      </c>
      <c r="E856" s="41">
        <f t="shared" ref="E856" si="195">IFERROR(INDEX(daftar,MATCH(C856,nmdaftar,0),2),"-")</f>
        <v>46000</v>
      </c>
      <c r="F856" s="41">
        <f>IF(E856="-","-",D856*E856)</f>
        <v>17020000</v>
      </c>
      <c r="G856" s="43"/>
      <c r="H856" s="731"/>
      <c r="I856" s="729"/>
      <c r="J856" s="733"/>
      <c r="W856" s="54"/>
      <c r="Y856" s="495"/>
      <c r="Z856" s="51"/>
    </row>
    <row r="857" spans="2:26">
      <c r="B857" s="702">
        <v>45563</v>
      </c>
      <c r="C857" s="39" t="s">
        <v>226</v>
      </c>
      <c r="D857" s="323">
        <v>40</v>
      </c>
      <c r="E857" s="41">
        <f t="shared" ref="E857" si="196">IFERROR(INDEX(daftar,MATCH(C857,nmdaftar,0),2),"-")</f>
        <v>95500</v>
      </c>
      <c r="F857" s="41">
        <f t="shared" ref="F857" si="197">IF(E857="-","-",D857*E857)</f>
        <v>3820000</v>
      </c>
      <c r="G857" s="43"/>
      <c r="H857" s="731"/>
      <c r="I857" s="729"/>
      <c r="J857" s="733"/>
      <c r="W857" s="54"/>
      <c r="Y857" s="513"/>
      <c r="Z857" s="51"/>
    </row>
    <row r="858" spans="2:26">
      <c r="B858" s="704"/>
      <c r="C858" s="39" t="s">
        <v>219</v>
      </c>
      <c r="D858" s="323">
        <v>265</v>
      </c>
      <c r="E858" s="41">
        <f t="shared" ref="E858" si="198">IFERROR(INDEX(daftar,MATCH(C858,nmdaftar,0),2),"-")</f>
        <v>46000</v>
      </c>
      <c r="F858" s="41">
        <f t="shared" ref="F858" si="199">IF(E858="-","-",D858*E858)</f>
        <v>12190000</v>
      </c>
      <c r="G858" s="43"/>
      <c r="H858" s="731"/>
      <c r="I858" s="729"/>
      <c r="J858" s="733"/>
      <c r="W858" s="54"/>
      <c r="Y858" s="513"/>
      <c r="Z858" s="51"/>
    </row>
    <row r="859" spans="2:26">
      <c r="B859" s="702">
        <v>45566</v>
      </c>
      <c r="C859" s="39" t="s">
        <v>222</v>
      </c>
      <c r="D859" s="323">
        <v>200</v>
      </c>
      <c r="E859" s="41">
        <v>14600</v>
      </c>
      <c r="F859" s="41">
        <f t="shared" ref="F859:F860" si="200">IF(E859="-","-",D859*E859)</f>
        <v>2920000</v>
      </c>
      <c r="G859" s="43"/>
      <c r="H859" s="731"/>
      <c r="I859" s="729"/>
      <c r="J859" s="733"/>
      <c r="W859" s="54"/>
      <c r="Y859" s="513"/>
      <c r="Z859" s="51"/>
    </row>
    <row r="860" spans="2:26">
      <c r="B860" s="703"/>
      <c r="C860" s="39" t="s">
        <v>224</v>
      </c>
      <c r="D860" s="323">
        <v>100</v>
      </c>
      <c r="E860" s="41">
        <v>14600</v>
      </c>
      <c r="F860" s="41">
        <f t="shared" si="200"/>
        <v>1460000</v>
      </c>
      <c r="G860" s="43"/>
      <c r="H860" s="731"/>
      <c r="I860" s="729"/>
      <c r="J860" s="733"/>
      <c r="W860" s="54"/>
      <c r="Y860" s="513"/>
      <c r="Z860" s="51"/>
    </row>
    <row r="861" spans="2:26">
      <c r="B861" s="704"/>
      <c r="C861" s="39" t="s">
        <v>219</v>
      </c>
      <c r="D861" s="323">
        <v>255</v>
      </c>
      <c r="E861" s="41">
        <f t="shared" ref="E861" si="201">IFERROR(INDEX(daftar,MATCH(C861,nmdaftar,0),2),"-")</f>
        <v>46000</v>
      </c>
      <c r="F861" s="41">
        <f t="shared" ref="F861" si="202">IF(E861="-","-",D861*E861)</f>
        <v>11730000</v>
      </c>
      <c r="G861" s="43"/>
      <c r="H861" s="711"/>
      <c r="I861" s="730"/>
      <c r="J861" s="734"/>
      <c r="W861" s="54"/>
      <c r="Y861" s="513"/>
      <c r="Z861" s="51"/>
    </row>
    <row r="862" spans="2:26">
      <c r="B862" s="794">
        <v>45567</v>
      </c>
      <c r="C862" s="537" t="s">
        <v>219</v>
      </c>
      <c r="D862" s="538">
        <v>680</v>
      </c>
      <c r="E862" s="539">
        <f t="shared" ref="E862" si="203">IFERROR(INDEX(daftar,MATCH(C862,nmdaftar,0),2),"-")</f>
        <v>46000</v>
      </c>
      <c r="F862" s="539">
        <f t="shared" ref="F862" si="204">IF(E862="-","-",D862*E862)</f>
        <v>31280000</v>
      </c>
      <c r="G862" s="540"/>
      <c r="H862" s="780">
        <v>45608</v>
      </c>
      <c r="I862" s="778">
        <f>F862+F863</f>
        <v>33190000</v>
      </c>
      <c r="J862" s="771"/>
      <c r="W862" s="54"/>
      <c r="Y862" s="515"/>
      <c r="Z862" s="51"/>
    </row>
    <row r="863" spans="2:26">
      <c r="B863" s="795"/>
      <c r="C863" s="537" t="s">
        <v>226</v>
      </c>
      <c r="D863" s="538">
        <v>20</v>
      </c>
      <c r="E863" s="539">
        <f t="shared" ref="E863" si="205">IFERROR(INDEX(daftar,MATCH(C863,nmdaftar,0),2),"-")</f>
        <v>95500</v>
      </c>
      <c r="F863" s="539">
        <f t="shared" ref="F863" si="206">IF(E863="-","-",D863*E863)</f>
        <v>1910000</v>
      </c>
      <c r="G863" s="540"/>
      <c r="H863" s="781"/>
      <c r="I863" s="779"/>
      <c r="J863" s="772"/>
      <c r="W863" s="54"/>
      <c r="Y863" s="514"/>
      <c r="Z863" s="51"/>
    </row>
    <row r="864" spans="2:26">
      <c r="B864" s="542">
        <v>45570</v>
      </c>
      <c r="C864" s="543" t="s">
        <v>219</v>
      </c>
      <c r="D864" s="544">
        <v>340</v>
      </c>
      <c r="E864" s="545">
        <f t="shared" ref="E864" si="207">IFERROR(INDEX(daftar,MATCH(C864,nmdaftar,0),2),"-")</f>
        <v>46000</v>
      </c>
      <c r="F864" s="545">
        <f>IF(E864="-","-",D864*E864)</f>
        <v>15640000</v>
      </c>
      <c r="G864" s="546"/>
      <c r="H864" s="784">
        <v>45613</v>
      </c>
      <c r="I864" s="782">
        <f>SUM(F864:F865)</f>
        <v>30590000</v>
      </c>
      <c r="J864" s="773"/>
      <c r="W864" s="54"/>
      <c r="Y864" s="514"/>
      <c r="Z864" s="51"/>
    </row>
    <row r="865" spans="1:26">
      <c r="B865" s="542">
        <v>45573</v>
      </c>
      <c r="C865" s="543" t="s">
        <v>219</v>
      </c>
      <c r="D865" s="544">
        <v>325</v>
      </c>
      <c r="E865" s="545">
        <f t="shared" ref="E865" si="208">IFERROR(INDEX(daftar,MATCH(C865,nmdaftar,0),2),"-")</f>
        <v>46000</v>
      </c>
      <c r="F865" s="545">
        <f>IF(E865="-","-",D865*E865)</f>
        <v>14950000</v>
      </c>
      <c r="G865" s="546"/>
      <c r="H865" s="785"/>
      <c r="I865" s="783"/>
      <c r="J865" s="774"/>
      <c r="W865" s="54"/>
      <c r="Y865" s="518"/>
      <c r="Z865" s="51"/>
    </row>
    <row r="866" spans="1:26">
      <c r="B866" s="536">
        <v>45575</v>
      </c>
      <c r="C866" s="212" t="s">
        <v>219</v>
      </c>
      <c r="D866" s="412">
        <v>295</v>
      </c>
      <c r="E866" s="214">
        <f t="shared" ref="E866" si="209">IFERROR(INDEX(daftar,MATCH(C866,nmdaftar,0),2),"-")</f>
        <v>46000</v>
      </c>
      <c r="F866" s="214">
        <f>IF(E866="-","-",D866*E866)</f>
        <v>13570000</v>
      </c>
      <c r="G866" s="275"/>
      <c r="H866" s="789">
        <v>45616</v>
      </c>
      <c r="I866" s="786">
        <f>SUM(F866:F870)</f>
        <v>57835000</v>
      </c>
      <c r="J866" s="775"/>
      <c r="W866" s="54"/>
      <c r="Y866" s="518"/>
      <c r="Z866" s="51"/>
    </row>
    <row r="867" spans="1:26">
      <c r="B867" s="536">
        <v>45575</v>
      </c>
      <c r="C867" s="212" t="s">
        <v>219</v>
      </c>
      <c r="D867" s="412">
        <v>325</v>
      </c>
      <c r="E867" s="214">
        <f t="shared" ref="E867" si="210">IFERROR(INDEX(daftar,MATCH(C867,nmdaftar,0),2),"-")</f>
        <v>46000</v>
      </c>
      <c r="F867" s="214">
        <f>IF(E867="-","-",D867*E867)</f>
        <v>14950000</v>
      </c>
      <c r="G867" s="275"/>
      <c r="H867" s="790"/>
      <c r="I867" s="787"/>
      <c r="J867" s="776"/>
      <c r="W867" s="54"/>
      <c r="Y867" s="518"/>
      <c r="Z867" s="51"/>
    </row>
    <row r="868" spans="1:26">
      <c r="A868" s="525"/>
      <c r="B868" s="536">
        <v>45581</v>
      </c>
      <c r="C868" s="212" t="s">
        <v>219</v>
      </c>
      <c r="D868" s="412">
        <v>325</v>
      </c>
      <c r="E868" s="214">
        <f t="shared" ref="E868" si="211">IFERROR(INDEX(daftar,MATCH(C868,nmdaftar,0),2),"-")</f>
        <v>46000</v>
      </c>
      <c r="F868" s="214">
        <f>IF(E868="-","-",D868*E868)</f>
        <v>14950000</v>
      </c>
      <c r="G868" s="275"/>
      <c r="H868" s="790"/>
      <c r="I868" s="787"/>
      <c r="J868" s="776"/>
      <c r="W868" s="54"/>
      <c r="Y868" s="527"/>
      <c r="Z868" s="51"/>
    </row>
    <row r="869" spans="1:26">
      <c r="A869" s="525"/>
      <c r="B869" s="792">
        <v>45582</v>
      </c>
      <c r="C869" s="212" t="s">
        <v>226</v>
      </c>
      <c r="D869" s="412">
        <v>30</v>
      </c>
      <c r="E869" s="214">
        <f t="shared" ref="E869" si="212">IFERROR(INDEX(daftar,MATCH(C869,nmdaftar,0),2),"-")</f>
        <v>95500</v>
      </c>
      <c r="F869" s="214">
        <f t="shared" ref="F869" si="213">IF(E869="-","-",D869*E869)</f>
        <v>2865000</v>
      </c>
      <c r="G869" s="275"/>
      <c r="H869" s="790"/>
      <c r="I869" s="787"/>
      <c r="J869" s="776"/>
      <c r="W869" s="54"/>
      <c r="Y869" s="527"/>
      <c r="Z869" s="51"/>
    </row>
    <row r="870" spans="1:26">
      <c r="A870" s="525"/>
      <c r="B870" s="793"/>
      <c r="C870" s="212" t="s">
        <v>219</v>
      </c>
      <c r="D870" s="412">
        <v>250</v>
      </c>
      <c r="E870" s="214">
        <f t="shared" ref="E870" si="214">IFERROR(INDEX(daftar,MATCH(C870,nmdaftar,0),2),"-")</f>
        <v>46000</v>
      </c>
      <c r="F870" s="214">
        <f>IF(E870="-","-",D870*E870)</f>
        <v>11500000</v>
      </c>
      <c r="G870" s="275"/>
      <c r="H870" s="791"/>
      <c r="I870" s="788"/>
      <c r="J870" s="777"/>
      <c r="W870" s="54"/>
      <c r="Y870" s="527"/>
      <c r="Z870" s="51"/>
    </row>
    <row r="871" spans="1:26">
      <c r="A871" s="525"/>
      <c r="B871" s="548">
        <v>45584</v>
      </c>
      <c r="C871" s="39" t="s">
        <v>219</v>
      </c>
      <c r="D871" s="323">
        <v>720</v>
      </c>
      <c r="E871" s="41">
        <f t="shared" ref="E871" si="215">IFERROR(INDEX(daftar,MATCH(C871,nmdaftar,0),2),"-")</f>
        <v>46000</v>
      </c>
      <c r="F871" s="41">
        <f>IF(E871="-","-",D871*E871)</f>
        <v>33120000</v>
      </c>
      <c r="G871" s="43"/>
      <c r="H871" s="710">
        <v>45629</v>
      </c>
      <c r="I871" s="728">
        <f>SUM(F871:F874)</f>
        <v>81950000</v>
      </c>
      <c r="J871" s="732"/>
      <c r="W871" s="54"/>
      <c r="Y871" s="523"/>
      <c r="Z871" s="51"/>
    </row>
    <row r="872" spans="1:26">
      <c r="A872" s="525"/>
      <c r="B872" s="702">
        <v>45587</v>
      </c>
      <c r="C872" s="39" t="s">
        <v>219</v>
      </c>
      <c r="D872" s="323">
        <v>695</v>
      </c>
      <c r="E872" s="41">
        <f t="shared" ref="E872:E873" si="216">IFERROR(INDEX(daftar,MATCH(C872,nmdaftar,0),2),"-")</f>
        <v>46000</v>
      </c>
      <c r="F872" s="41">
        <f>IF(E872="-","-",D872*E872)</f>
        <v>31970000</v>
      </c>
      <c r="G872" s="43"/>
      <c r="H872" s="731"/>
      <c r="I872" s="729"/>
      <c r="J872" s="733"/>
      <c r="W872" s="54"/>
      <c r="Y872" s="523"/>
      <c r="Z872" s="51"/>
    </row>
    <row r="873" spans="1:26">
      <c r="A873" s="525"/>
      <c r="B873" s="704"/>
      <c r="C873" s="39" t="s">
        <v>226</v>
      </c>
      <c r="D873" s="323">
        <v>20</v>
      </c>
      <c r="E873" s="41">
        <f t="shared" si="216"/>
        <v>95500</v>
      </c>
      <c r="F873" s="41">
        <f t="shared" ref="F873" si="217">IF(E873="-","-",D873*E873)</f>
        <v>1910000</v>
      </c>
      <c r="G873" s="43"/>
      <c r="H873" s="731"/>
      <c r="I873" s="729"/>
      <c r="J873" s="733"/>
      <c r="W873" s="54"/>
      <c r="Y873" s="523"/>
      <c r="Z873" s="51"/>
    </row>
    <row r="874" spans="1:26">
      <c r="A874" s="525"/>
      <c r="B874" s="548">
        <v>45589</v>
      </c>
      <c r="C874" s="39" t="s">
        <v>219</v>
      </c>
      <c r="D874" s="323">
        <v>325</v>
      </c>
      <c r="E874" s="41">
        <f t="shared" ref="E874" si="218">IFERROR(INDEX(daftar,MATCH(C874,nmdaftar,0),2),"-")</f>
        <v>46000</v>
      </c>
      <c r="F874" s="41">
        <f>IF(E874="-","-",D874*E874)</f>
        <v>14950000</v>
      </c>
      <c r="G874" s="43"/>
      <c r="H874" s="711"/>
      <c r="I874" s="730"/>
      <c r="J874" s="734"/>
      <c r="W874" s="54"/>
      <c r="Y874" s="523"/>
      <c r="Z874" s="51"/>
    </row>
    <row r="875" spans="1:26">
      <c r="A875" s="525"/>
      <c r="B875" s="524">
        <v>45591</v>
      </c>
      <c r="C875" s="203" t="s">
        <v>219</v>
      </c>
      <c r="D875" s="329">
        <v>720</v>
      </c>
      <c r="E875" s="205">
        <f t="shared" ref="E875" si="219">IFERROR(INDEX(daftar,MATCH(C875,nmdaftar,0),2),"-")</f>
        <v>46000</v>
      </c>
      <c r="F875" s="205">
        <f>IF(E875="-","-",D875*E875)</f>
        <v>33120000</v>
      </c>
      <c r="G875" s="274"/>
      <c r="H875" s="705"/>
      <c r="I875" s="735">
        <f>SUM(F875:F877)</f>
        <v>79580000</v>
      </c>
      <c r="J875" s="737"/>
      <c r="W875" s="54"/>
      <c r="Y875" s="523"/>
      <c r="Z875" s="51"/>
    </row>
    <row r="876" spans="1:26">
      <c r="B876" s="528">
        <v>45593</v>
      </c>
      <c r="C876" s="203" t="s">
        <v>219</v>
      </c>
      <c r="D876" s="329">
        <v>325</v>
      </c>
      <c r="E876" s="205">
        <f t="shared" ref="E876:E877" si="220">IFERROR(INDEX(daftar,MATCH(C876,nmdaftar,0),2),"-")</f>
        <v>46000</v>
      </c>
      <c r="F876" s="205">
        <f>IF(E876="-","-",D876*E876)</f>
        <v>14950000</v>
      </c>
      <c r="G876" s="274"/>
      <c r="H876" s="750"/>
      <c r="I876" s="749"/>
      <c r="J876" s="751"/>
      <c r="K876">
        <f>63710+79580</f>
        <v>143290</v>
      </c>
      <c r="W876" s="54"/>
      <c r="Y876" s="513"/>
      <c r="Z876" s="51"/>
    </row>
    <row r="877" spans="1:26">
      <c r="B877" s="647">
        <v>45595</v>
      </c>
      <c r="C877" s="203" t="s">
        <v>219</v>
      </c>
      <c r="D877" s="329">
        <v>685</v>
      </c>
      <c r="E877" s="205">
        <f t="shared" si="220"/>
        <v>46000</v>
      </c>
      <c r="F877" s="205">
        <f>IF(E877="-","-",D877*E877)</f>
        <v>31510000</v>
      </c>
      <c r="G877" s="274"/>
      <c r="H877" s="706"/>
      <c r="I877" s="736"/>
      <c r="J877" s="738"/>
      <c r="W877" s="54"/>
      <c r="Y877" s="527"/>
      <c r="Z877" s="51"/>
    </row>
    <row r="878" spans="1:26">
      <c r="B878" s="648"/>
      <c r="C878" s="39" t="s">
        <v>222</v>
      </c>
      <c r="D878" s="323">
        <v>100</v>
      </c>
      <c r="E878" s="41">
        <v>14600</v>
      </c>
      <c r="F878" s="41">
        <f t="shared" ref="F878:F879" si="221">IF(E878="-","-",D878*E878)</f>
        <v>1460000</v>
      </c>
      <c r="G878" s="43"/>
      <c r="H878" s="710"/>
      <c r="I878" s="710"/>
      <c r="J878" s="710"/>
      <c r="W878" s="54"/>
      <c r="Y878" s="527"/>
      <c r="Z878" s="51"/>
    </row>
    <row r="879" spans="1:26">
      <c r="B879" s="649"/>
      <c r="C879" s="39" t="s">
        <v>224</v>
      </c>
      <c r="D879" s="323">
        <v>100</v>
      </c>
      <c r="E879" s="41">
        <v>14600</v>
      </c>
      <c r="F879" s="41">
        <f t="shared" si="221"/>
        <v>1460000</v>
      </c>
      <c r="G879" s="43"/>
      <c r="H879" s="711"/>
      <c r="I879" s="711"/>
      <c r="J879" s="711"/>
      <c r="W879" s="54"/>
      <c r="Y879" s="527"/>
      <c r="Z879" s="51"/>
    </row>
    <row r="880" spans="1:26">
      <c r="B880" s="551">
        <v>45597</v>
      </c>
      <c r="C880" s="552" t="s">
        <v>219</v>
      </c>
      <c r="D880" s="553">
        <v>330</v>
      </c>
      <c r="E880" s="554">
        <f t="shared" ref="E880" si="222">IFERROR(INDEX(daftar,MATCH(C880,nmdaftar,0),2),"-")</f>
        <v>46000</v>
      </c>
      <c r="F880" s="554">
        <f>IF(E880="-","-",D880*E880)</f>
        <v>15180000</v>
      </c>
      <c r="G880" s="555"/>
      <c r="H880" s="682">
        <v>45639</v>
      </c>
      <c r="I880" s="679">
        <f>SUM(F880:F882)</f>
        <v>63710000</v>
      </c>
      <c r="J880" s="685"/>
      <c r="W880" s="54"/>
      <c r="Y880" s="531"/>
      <c r="Z880" s="51"/>
    </row>
    <row r="881" spans="2:26">
      <c r="B881" s="551">
        <v>45600</v>
      </c>
      <c r="C881" s="552" t="s">
        <v>219</v>
      </c>
      <c r="D881" s="553">
        <v>335</v>
      </c>
      <c r="E881" s="554">
        <f t="shared" ref="E881" si="223">IFERROR(INDEX(daftar,MATCH(C881,nmdaftar,0),2),"-")</f>
        <v>46000</v>
      </c>
      <c r="F881" s="554">
        <f>IF(E881="-","-",D881*E881)</f>
        <v>15410000</v>
      </c>
      <c r="G881" s="555"/>
      <c r="H881" s="683"/>
      <c r="I881" s="680"/>
      <c r="J881" s="686"/>
      <c r="W881" s="54"/>
      <c r="Y881" s="531"/>
      <c r="Z881" s="51"/>
    </row>
    <row r="882" spans="2:26">
      <c r="B882" s="551">
        <v>45601</v>
      </c>
      <c r="C882" s="552" t="s">
        <v>219</v>
      </c>
      <c r="D882" s="553">
        <v>720</v>
      </c>
      <c r="E882" s="554">
        <f t="shared" ref="E882" si="224">IFERROR(INDEX(daftar,MATCH(C882,nmdaftar,0),2),"-")</f>
        <v>46000</v>
      </c>
      <c r="F882" s="554">
        <f>IF(E882="-","-",D882*E882)</f>
        <v>33120000</v>
      </c>
      <c r="G882" s="555"/>
      <c r="H882" s="684"/>
      <c r="I882" s="681"/>
      <c r="J882" s="687"/>
      <c r="W882" s="54"/>
      <c r="Y882" s="531"/>
      <c r="Z882" s="51"/>
    </row>
    <row r="883" spans="2:26">
      <c r="B883" s="551">
        <v>45602</v>
      </c>
      <c r="C883" s="552" t="s">
        <v>219</v>
      </c>
      <c r="D883" s="435">
        <v>300</v>
      </c>
      <c r="E883" s="554">
        <f t="shared" ref="E883" si="225">IFERROR(INDEX(daftar,MATCH(C883,nmdaftar,0),2),"-")</f>
        <v>46000</v>
      </c>
      <c r="F883" s="554">
        <f>IF(E883="-","-",D883*E883)</f>
        <v>13800000</v>
      </c>
      <c r="G883" s="555"/>
      <c r="H883" s="682"/>
      <c r="I883" s="679">
        <v>103326000</v>
      </c>
      <c r="J883" s="685"/>
      <c r="L883">
        <v>890</v>
      </c>
      <c r="M883">
        <v>46000</v>
      </c>
      <c r="N883" s="554">
        <f>M883*L883</f>
        <v>40940000</v>
      </c>
      <c r="W883" s="54"/>
      <c r="Y883" s="531"/>
      <c r="Z883" s="51"/>
    </row>
    <row r="884" spans="2:26">
      <c r="B884" s="676">
        <v>45602</v>
      </c>
      <c r="C884" s="552" t="s">
        <v>222</v>
      </c>
      <c r="D884" s="435">
        <v>200</v>
      </c>
      <c r="E884" s="554">
        <v>14600</v>
      </c>
      <c r="F884" s="554">
        <f t="shared" ref="F884:F885" si="226">IF(E884="-","-",D884*E884)</f>
        <v>2920000</v>
      </c>
      <c r="G884" s="555"/>
      <c r="H884" s="683"/>
      <c r="I884" s="680"/>
      <c r="J884" s="686"/>
      <c r="L884">
        <v>200</v>
      </c>
      <c r="M884">
        <v>14600</v>
      </c>
      <c r="N884" s="554">
        <f t="shared" ref="N884:N892" si="227">M884*L884</f>
        <v>2920000</v>
      </c>
      <c r="W884" s="54"/>
      <c r="Y884" s="531"/>
      <c r="Z884" s="51"/>
    </row>
    <row r="885" spans="2:26">
      <c r="B885" s="677"/>
      <c r="C885" s="552" t="s">
        <v>224</v>
      </c>
      <c r="D885" s="435">
        <v>200</v>
      </c>
      <c r="E885" s="554">
        <v>14600</v>
      </c>
      <c r="F885" s="554">
        <f t="shared" si="226"/>
        <v>2920000</v>
      </c>
      <c r="G885" s="555"/>
      <c r="H885" s="683"/>
      <c r="I885" s="680"/>
      <c r="J885" s="686"/>
      <c r="L885">
        <v>200</v>
      </c>
      <c r="M885">
        <v>14600</v>
      </c>
      <c r="N885" s="554">
        <f t="shared" si="227"/>
        <v>2920000</v>
      </c>
      <c r="W885" s="54"/>
      <c r="Y885" s="531"/>
      <c r="Z885" s="51"/>
    </row>
    <row r="886" spans="2:26">
      <c r="B886" s="678"/>
      <c r="C886" s="552" t="s">
        <v>219</v>
      </c>
      <c r="D886" s="435">
        <v>255</v>
      </c>
      <c r="E886" s="554">
        <f t="shared" ref="E886:E887" si="228">IFERROR(INDEX(daftar,MATCH(C886,nmdaftar,0),2),"-")</f>
        <v>46000</v>
      </c>
      <c r="F886" s="554">
        <f>IF(E886="-","-",D886*E886)</f>
        <v>11730000</v>
      </c>
      <c r="G886" s="555"/>
      <c r="H886" s="683"/>
      <c r="I886" s="680"/>
      <c r="J886" s="686"/>
      <c r="L886">
        <v>660</v>
      </c>
      <c r="M886">
        <v>46000</v>
      </c>
      <c r="N886" s="554">
        <f t="shared" si="227"/>
        <v>30360000</v>
      </c>
      <c r="W886" s="54"/>
      <c r="Y886" s="531"/>
      <c r="Z886" s="51"/>
    </row>
    <row r="887" spans="2:26">
      <c r="B887" s="551">
        <v>45602</v>
      </c>
      <c r="C887" s="552" t="s">
        <v>219</v>
      </c>
      <c r="D887" s="435">
        <v>335</v>
      </c>
      <c r="E887" s="554">
        <f t="shared" si="228"/>
        <v>46000</v>
      </c>
      <c r="F887" s="554">
        <f>IF(E887="-","-",D887*E887)</f>
        <v>15410000</v>
      </c>
      <c r="G887" s="555"/>
      <c r="H887" s="683"/>
      <c r="I887" s="680"/>
      <c r="J887" s="686"/>
      <c r="L887">
        <v>30</v>
      </c>
      <c r="M887">
        <v>95500</v>
      </c>
      <c r="N887" s="554">
        <f t="shared" si="227"/>
        <v>2865000</v>
      </c>
      <c r="W887" s="54"/>
      <c r="Y887" s="531"/>
      <c r="Z887" s="51"/>
    </row>
    <row r="888" spans="2:26">
      <c r="B888" s="676">
        <v>45605</v>
      </c>
      <c r="C888" s="552" t="s">
        <v>226</v>
      </c>
      <c r="D888" s="435">
        <v>30</v>
      </c>
      <c r="E888" s="554">
        <f t="shared" ref="E888" si="229">IFERROR(INDEX(daftar,MATCH(C888,nmdaftar,0),2),"-")</f>
        <v>95500</v>
      </c>
      <c r="F888" s="554">
        <f t="shared" ref="F888" si="230">IF(E888="-","-",D888*E888)</f>
        <v>2865000</v>
      </c>
      <c r="G888" s="555"/>
      <c r="H888" s="683"/>
      <c r="I888" s="680"/>
      <c r="J888" s="686"/>
      <c r="L888">
        <v>320</v>
      </c>
      <c r="M888">
        <v>46000</v>
      </c>
      <c r="N888" s="554">
        <f t="shared" si="227"/>
        <v>14720000</v>
      </c>
      <c r="W888" s="54"/>
      <c r="Y888" s="533"/>
      <c r="Z888" s="51"/>
    </row>
    <row r="889" spans="2:26">
      <c r="B889" s="678"/>
      <c r="C889" s="552" t="s">
        <v>219</v>
      </c>
      <c r="D889" s="435">
        <v>660</v>
      </c>
      <c r="E889" s="554">
        <v>46000</v>
      </c>
      <c r="F889" s="554">
        <f>IF(E889="-","-",D889*E889)</f>
        <v>30360000</v>
      </c>
      <c r="G889" s="555"/>
      <c r="H889" s="683"/>
      <c r="I889" s="680"/>
      <c r="J889" s="686"/>
      <c r="L889">
        <v>10</v>
      </c>
      <c r="M889">
        <v>95500</v>
      </c>
      <c r="N889" s="554">
        <f t="shared" si="227"/>
        <v>955000</v>
      </c>
      <c r="W889" s="54"/>
      <c r="Y889" s="533"/>
      <c r="Z889" s="51"/>
    </row>
    <row r="890" spans="2:26">
      <c r="B890" s="551">
        <v>45608</v>
      </c>
      <c r="C890" s="552" t="s">
        <v>219</v>
      </c>
      <c r="D890" s="435">
        <v>320</v>
      </c>
      <c r="E890" s="554">
        <f t="shared" ref="E890" si="231">IFERROR(INDEX(daftar,MATCH(C890,nmdaftar,0),2),"-")</f>
        <v>46000</v>
      </c>
      <c r="F890" s="554">
        <f>IF(E890="-","-",D890*E890)</f>
        <v>14720000</v>
      </c>
      <c r="G890" s="555"/>
      <c r="H890" s="683"/>
      <c r="I890" s="680"/>
      <c r="J890" s="686"/>
      <c r="L890">
        <v>285</v>
      </c>
      <c r="M890">
        <v>46000</v>
      </c>
      <c r="N890" s="554">
        <f t="shared" si="227"/>
        <v>13110000</v>
      </c>
      <c r="W890" s="54"/>
      <c r="Y890" s="533"/>
      <c r="Z890" s="51"/>
    </row>
    <row r="891" spans="2:26">
      <c r="B891" s="676">
        <v>45609</v>
      </c>
      <c r="C891" s="552" t="s">
        <v>226</v>
      </c>
      <c r="D891" s="435">
        <v>10</v>
      </c>
      <c r="E891" s="554">
        <f t="shared" ref="E891" si="232">IFERROR(INDEX(daftar,MATCH(C891,nmdaftar,0),2),"-")</f>
        <v>95500</v>
      </c>
      <c r="F891" s="554">
        <f t="shared" ref="F891" si="233">IF(E891="-","-",D891*E891)</f>
        <v>955000</v>
      </c>
      <c r="G891" s="555"/>
      <c r="H891" s="683"/>
      <c r="I891" s="680"/>
      <c r="J891" s="686"/>
      <c r="L891">
        <v>300</v>
      </c>
      <c r="M891">
        <v>46000</v>
      </c>
      <c r="N891" s="554">
        <f t="shared" si="227"/>
        <v>13800000</v>
      </c>
      <c r="W891" s="54"/>
      <c r="Y891" s="533"/>
      <c r="Z891" s="51"/>
    </row>
    <row r="892" spans="2:26">
      <c r="B892" s="678"/>
      <c r="C892" s="552" t="s">
        <v>219</v>
      </c>
      <c r="D892" s="435">
        <v>285</v>
      </c>
      <c r="E892" s="554">
        <f t="shared" ref="E892" si="234">IFERROR(INDEX(daftar,MATCH(C892,nmdaftar,0),2),"-")</f>
        <v>46000</v>
      </c>
      <c r="F892" s="554">
        <f>IF(E892="-","-",D892*E892)</f>
        <v>13110000</v>
      </c>
      <c r="G892" s="555"/>
      <c r="H892" s="683"/>
      <c r="I892" s="680"/>
      <c r="J892" s="686"/>
      <c r="L892">
        <v>100</v>
      </c>
      <c r="M892">
        <v>14600</v>
      </c>
      <c r="N892" s="554">
        <f t="shared" si="227"/>
        <v>1460000</v>
      </c>
      <c r="W892" s="54"/>
      <c r="Y892" s="533"/>
      <c r="Z892" s="51"/>
    </row>
    <row r="893" spans="2:26">
      <c r="B893" s="676">
        <v>45610</v>
      </c>
      <c r="C893" s="552" t="s">
        <v>219</v>
      </c>
      <c r="D893" s="435">
        <v>300</v>
      </c>
      <c r="E893" s="554">
        <f t="shared" ref="E893" si="235">IFERROR(INDEX(daftar,MATCH(C893,nmdaftar,0),2),"-")</f>
        <v>46000</v>
      </c>
      <c r="F893" s="554">
        <f>IF(E893="-","-",D893*E893)</f>
        <v>13800000</v>
      </c>
      <c r="G893" s="555"/>
      <c r="H893" s="683"/>
      <c r="I893" s="680"/>
      <c r="J893" s="686"/>
      <c r="N893" s="450">
        <f>SUM(N883:N892)</f>
        <v>124050000</v>
      </c>
      <c r="W893" s="54"/>
      <c r="Y893" s="535"/>
      <c r="Z893" s="51"/>
    </row>
    <row r="894" spans="2:26">
      <c r="B894" s="678"/>
      <c r="C894" s="552" t="s">
        <v>224</v>
      </c>
      <c r="D894" s="435">
        <v>100</v>
      </c>
      <c r="E894" s="554">
        <v>14600</v>
      </c>
      <c r="F894" s="554">
        <f t="shared" ref="F894" si="236">IF(E894="-","-",D894*E894)</f>
        <v>1460000</v>
      </c>
      <c r="G894" s="555"/>
      <c r="H894" s="684"/>
      <c r="I894" s="681"/>
      <c r="J894" s="687"/>
      <c r="W894" s="54"/>
      <c r="Y894" s="550"/>
      <c r="Z894" s="51"/>
    </row>
    <row r="895" spans="2:26">
      <c r="B895" s="551">
        <v>45611</v>
      </c>
      <c r="C895" s="552" t="s">
        <v>219</v>
      </c>
      <c r="D895" s="556">
        <v>320</v>
      </c>
      <c r="E895" s="554">
        <f t="shared" ref="E895" si="237">IFERROR(INDEX(daftar,MATCH(C895,nmdaftar,0),2),"-")</f>
        <v>46000</v>
      </c>
      <c r="F895" s="554">
        <f>IF(E895="-","-",D895*E895)</f>
        <v>14720000</v>
      </c>
      <c r="G895" s="555"/>
      <c r="H895" s="682">
        <v>45653</v>
      </c>
      <c r="I895" s="679">
        <f>SUM(F895:F901)</f>
        <v>113170000</v>
      </c>
      <c r="J895" s="685"/>
      <c r="N895" s="450">
        <f>N893-I883</f>
        <v>20724000</v>
      </c>
      <c r="W895" s="54"/>
      <c r="Y895" s="535"/>
      <c r="Z895" s="51"/>
    </row>
    <row r="896" spans="2:26">
      <c r="B896" s="551">
        <v>45612</v>
      </c>
      <c r="C896" s="552" t="s">
        <v>219</v>
      </c>
      <c r="D896" s="556">
        <v>335</v>
      </c>
      <c r="E896" s="554">
        <f t="shared" ref="E896" si="238">IFERROR(INDEX(daftar,MATCH(C896,nmdaftar,0),2),"-")</f>
        <v>46000</v>
      </c>
      <c r="F896" s="554">
        <f>IF(E896="-","-",D896*E896)</f>
        <v>15410000</v>
      </c>
      <c r="G896" s="555"/>
      <c r="H896" s="683"/>
      <c r="I896" s="680"/>
      <c r="J896" s="686"/>
      <c r="N896" s="450">
        <f>F878</f>
        <v>1460000</v>
      </c>
      <c r="W896" s="54"/>
      <c r="Y896" s="535"/>
      <c r="Z896" s="51"/>
    </row>
    <row r="897" spans="1:26">
      <c r="B897" s="676">
        <v>45616</v>
      </c>
      <c r="C897" s="552" t="s">
        <v>222</v>
      </c>
      <c r="D897" s="556">
        <v>200</v>
      </c>
      <c r="E897" s="554">
        <v>14600</v>
      </c>
      <c r="F897" s="554">
        <f t="shared" ref="F897:F898" si="239">IF(E897="-","-",D897*E897)</f>
        <v>2920000</v>
      </c>
      <c r="G897" s="555"/>
      <c r="H897" s="683"/>
      <c r="I897" s="680"/>
      <c r="J897" s="686"/>
      <c r="N897" s="450">
        <f>F900</f>
        <v>33120000</v>
      </c>
      <c r="W897" s="54"/>
      <c r="Y897" s="535"/>
      <c r="Z897" s="51"/>
    </row>
    <row r="898" spans="1:26">
      <c r="B898" s="677"/>
      <c r="C898" s="552" t="s">
        <v>224</v>
      </c>
      <c r="D898" s="556">
        <v>100</v>
      </c>
      <c r="E898" s="554">
        <v>14600</v>
      </c>
      <c r="F898" s="554">
        <f t="shared" si="239"/>
        <v>1460000</v>
      </c>
      <c r="G898" s="555"/>
      <c r="H898" s="683"/>
      <c r="I898" s="680"/>
      <c r="J898" s="686"/>
      <c r="N898" s="450">
        <f>F879</f>
        <v>1460000</v>
      </c>
      <c r="W898" s="54"/>
      <c r="Y898" s="535"/>
      <c r="Z898" s="51"/>
    </row>
    <row r="899" spans="1:26">
      <c r="B899" s="678"/>
      <c r="C899" s="552" t="s">
        <v>219</v>
      </c>
      <c r="D899" s="556">
        <v>665</v>
      </c>
      <c r="E899" s="554">
        <f t="shared" ref="E899" si="240">IFERROR(INDEX(daftar,MATCH(C899,nmdaftar,0),2),"-")</f>
        <v>46000</v>
      </c>
      <c r="F899" s="554">
        <f>IF(E899="-","-",D899*E899)</f>
        <v>30590000</v>
      </c>
      <c r="G899" s="555"/>
      <c r="H899" s="683"/>
      <c r="I899" s="680"/>
      <c r="J899" s="686"/>
      <c r="N899" s="450"/>
      <c r="W899" s="54"/>
      <c r="Y899" s="535"/>
      <c r="Z899" s="51"/>
    </row>
    <row r="900" spans="1:26">
      <c r="B900" s="564">
        <v>45621</v>
      </c>
      <c r="C900" s="565" t="s">
        <v>219</v>
      </c>
      <c r="D900" s="324">
        <v>720</v>
      </c>
      <c r="E900" s="566">
        <f t="shared" ref="E900" si="241">IFERROR(INDEX(daftar,MATCH(C900,nmdaftar,0),2),"-")</f>
        <v>46000</v>
      </c>
      <c r="F900" s="566">
        <f>IF(E900="-","-",D900*E900)</f>
        <v>33120000</v>
      </c>
      <c r="G900" s="555"/>
      <c r="H900" s="683"/>
      <c r="I900" s="680"/>
      <c r="J900" s="686"/>
      <c r="N900" s="450">
        <f>-1*(SUM(N895:N898))</f>
        <v>-56764000</v>
      </c>
      <c r="W900" s="54"/>
      <c r="Y900" s="535"/>
      <c r="Z900" s="51"/>
    </row>
    <row r="901" spans="1:26">
      <c r="B901" s="551">
        <v>45622</v>
      </c>
      <c r="C901" s="552" t="s">
        <v>219</v>
      </c>
      <c r="D901" s="556">
        <v>325</v>
      </c>
      <c r="E901" s="554">
        <f t="shared" ref="E901" si="242">IFERROR(INDEX(daftar,MATCH(C901,nmdaftar,0),2),"-")</f>
        <v>46000</v>
      </c>
      <c r="F901" s="554">
        <f>IF(E901="-","-",D901*E901)</f>
        <v>14950000</v>
      </c>
      <c r="G901" s="555"/>
      <c r="H901" s="684"/>
      <c r="I901" s="681"/>
      <c r="J901" s="687"/>
      <c r="W901" s="54"/>
      <c r="Y901" s="541"/>
      <c r="Z901" s="51"/>
    </row>
    <row r="902" spans="1:26">
      <c r="B902" s="558">
        <v>45626</v>
      </c>
      <c r="C902" s="552" t="s">
        <v>219</v>
      </c>
      <c r="D902" s="553">
        <v>720</v>
      </c>
      <c r="E902" s="554">
        <f t="shared" ref="E902" si="243">IFERROR(INDEX(daftar,MATCH(C902,nmdaftar,0),2),"-")</f>
        <v>46000</v>
      </c>
      <c r="F902" s="554">
        <f>IF(E902="-","-",D902*E902)</f>
        <v>33120000</v>
      </c>
      <c r="G902" s="555"/>
      <c r="H902" s="562"/>
      <c r="I902" s="563"/>
      <c r="J902" s="559"/>
      <c r="W902" s="54"/>
      <c r="Y902" s="541"/>
      <c r="Z902" s="51"/>
    </row>
    <row r="903" spans="1:26">
      <c r="B903" s="561">
        <v>45629</v>
      </c>
      <c r="C903" s="39" t="s">
        <v>219</v>
      </c>
      <c r="D903" s="323">
        <v>720</v>
      </c>
      <c r="E903" s="41">
        <f t="shared" ref="E903" si="244">IFERROR(INDEX(daftar,MATCH(C903,nmdaftar,0),2),"-")</f>
        <v>46000</v>
      </c>
      <c r="F903" s="41">
        <f>IF(E903="-","-",D903*E903)</f>
        <v>33120000</v>
      </c>
      <c r="G903" s="43"/>
      <c r="H903" s="710"/>
      <c r="I903" s="728">
        <f>SUM(F903:F910)</f>
        <v>134200000</v>
      </c>
      <c r="J903" s="732"/>
      <c r="W903" s="54"/>
      <c r="Y903" s="541"/>
      <c r="Z903" s="51"/>
    </row>
    <row r="904" spans="1:26">
      <c r="B904" s="702">
        <v>45631</v>
      </c>
      <c r="C904" s="39" t="s">
        <v>220</v>
      </c>
      <c r="D904" s="323">
        <v>100</v>
      </c>
      <c r="E904" s="41">
        <f t="shared" ref="E904:E905" si="245">IFERROR(INDEX(daftar,MATCH(C904,nmdaftar,0),2),"-")</f>
        <v>27000</v>
      </c>
      <c r="F904" s="41">
        <f t="shared" ref="F904" si="246">IF(E904="-","-",D904*E904)</f>
        <v>2700000</v>
      </c>
      <c r="G904" s="43"/>
      <c r="H904" s="731"/>
      <c r="I904" s="729"/>
      <c r="J904" s="733"/>
      <c r="W904" s="54"/>
      <c r="Y904" s="547"/>
      <c r="Z904" s="51"/>
    </row>
    <row r="905" spans="1:26">
      <c r="A905">
        <f>D905+D908</f>
        <v>550</v>
      </c>
      <c r="B905" s="704"/>
      <c r="C905" s="39" t="s">
        <v>219</v>
      </c>
      <c r="D905" s="323">
        <v>280</v>
      </c>
      <c r="E905" s="41">
        <f t="shared" si="245"/>
        <v>46000</v>
      </c>
      <c r="F905" s="41">
        <f>IF(E905="-","-",D905*E905)</f>
        <v>12880000</v>
      </c>
      <c r="G905" s="43"/>
      <c r="H905" s="731"/>
      <c r="I905" s="729"/>
      <c r="J905" s="733"/>
      <c r="W905" s="54"/>
      <c r="Y905" s="547"/>
      <c r="Z905" s="51"/>
    </row>
    <row r="906" spans="1:26">
      <c r="B906" s="702">
        <v>45631</v>
      </c>
      <c r="C906" s="39" t="s">
        <v>222</v>
      </c>
      <c r="D906" s="323">
        <v>200</v>
      </c>
      <c r="E906" s="41">
        <v>14600</v>
      </c>
      <c r="F906" s="41">
        <f t="shared" ref="F906:F907" si="247">IF(E906="-","-",D906*E906)</f>
        <v>2920000</v>
      </c>
      <c r="G906" s="43"/>
      <c r="H906" s="731"/>
      <c r="I906" s="729"/>
      <c r="J906" s="733"/>
      <c r="W906" s="54"/>
      <c r="Y906" s="547"/>
      <c r="Z906" s="51"/>
    </row>
    <row r="907" spans="1:26">
      <c r="B907" s="703"/>
      <c r="C907" s="39" t="s">
        <v>224</v>
      </c>
      <c r="D907" s="323">
        <v>300</v>
      </c>
      <c r="E907" s="41">
        <v>14600</v>
      </c>
      <c r="F907" s="41">
        <f t="shared" si="247"/>
        <v>4380000</v>
      </c>
      <c r="G907" s="43"/>
      <c r="H907" s="731"/>
      <c r="I907" s="729"/>
      <c r="J907" s="733"/>
      <c r="W907" s="54"/>
      <c r="Y907" s="547"/>
      <c r="Z907" s="51"/>
    </row>
    <row r="908" spans="1:26">
      <c r="B908" s="704"/>
      <c r="C908" s="39" t="s">
        <v>219</v>
      </c>
      <c r="D908" s="323">
        <v>270</v>
      </c>
      <c r="E908" s="41">
        <f t="shared" ref="E908" si="248">IFERROR(INDEX(daftar,MATCH(C908,nmdaftar,0),2),"-")</f>
        <v>46000</v>
      </c>
      <c r="F908" s="41">
        <f>IF(E908="-","-",D908*E908)</f>
        <v>12420000</v>
      </c>
      <c r="G908" s="43"/>
      <c r="H908" s="731"/>
      <c r="I908" s="729"/>
      <c r="J908" s="733"/>
      <c r="W908" s="54"/>
      <c r="Y908" s="547"/>
      <c r="Z908" s="51"/>
    </row>
    <row r="909" spans="1:26">
      <c r="B909" s="561">
        <v>45635</v>
      </c>
      <c r="C909" s="39" t="s">
        <v>219</v>
      </c>
      <c r="D909" s="323">
        <v>720</v>
      </c>
      <c r="E909" s="41">
        <f t="shared" ref="E909" si="249">IFERROR(INDEX(daftar,MATCH(C909,nmdaftar,0),2),"-")</f>
        <v>46000</v>
      </c>
      <c r="F909" s="41">
        <f>IF(E909="-","-",D909*E909)</f>
        <v>33120000</v>
      </c>
      <c r="G909" s="43"/>
      <c r="H909" s="731"/>
      <c r="I909" s="729"/>
      <c r="J909" s="733"/>
      <c r="W909" s="54"/>
      <c r="Y909" s="547"/>
      <c r="Z909" s="51"/>
    </row>
    <row r="910" spans="1:26">
      <c r="B910" s="561">
        <v>45638</v>
      </c>
      <c r="C910" s="39" t="s">
        <v>219</v>
      </c>
      <c r="D910" s="323">
        <v>710</v>
      </c>
      <c r="E910" s="41">
        <v>46000</v>
      </c>
      <c r="F910" s="41">
        <f t="shared" ref="F910" si="250">IF(E910="-","-",D910*E910)</f>
        <v>32660000</v>
      </c>
      <c r="G910" s="43"/>
      <c r="H910" s="711"/>
      <c r="I910" s="730"/>
      <c r="J910" s="734"/>
      <c r="W910" s="54"/>
      <c r="Y910" s="549"/>
      <c r="Z910" s="51"/>
    </row>
    <row r="911" spans="1:26">
      <c r="B911" s="312">
        <v>45639</v>
      </c>
      <c r="C911" s="313" t="s">
        <v>222</v>
      </c>
      <c r="D911" s="402">
        <v>320</v>
      </c>
      <c r="E911" s="315">
        <v>46000</v>
      </c>
      <c r="F911" s="315">
        <f>IF(E911="-","-",D911*E911)</f>
        <v>14720000</v>
      </c>
      <c r="G911" s="317"/>
      <c r="H911" s="1005"/>
      <c r="I911" s="765">
        <f>SUM(F911:F914)</f>
        <v>51540000</v>
      </c>
      <c r="J911" s="768"/>
      <c r="W911" s="54"/>
      <c r="Y911" s="549"/>
      <c r="Z911" s="51"/>
    </row>
    <row r="912" spans="1:26">
      <c r="B912" s="762">
        <v>45643</v>
      </c>
      <c r="C912" s="313" t="s">
        <v>222</v>
      </c>
      <c r="D912" s="402">
        <v>300</v>
      </c>
      <c r="E912" s="315">
        <v>14600</v>
      </c>
      <c r="F912" s="315">
        <f t="shared" ref="F912:F915" si="251">IF(E912="-","-",D912*E912)</f>
        <v>4380000</v>
      </c>
      <c r="G912" s="317"/>
      <c r="H912" s="1006"/>
      <c r="I912" s="766"/>
      <c r="J912" s="769"/>
      <c r="W912" s="54"/>
      <c r="Y912" s="549"/>
      <c r="Z912" s="51"/>
    </row>
    <row r="913" spans="2:26">
      <c r="B913" s="763"/>
      <c r="C913" s="313" t="s">
        <v>224</v>
      </c>
      <c r="D913" s="402">
        <v>300</v>
      </c>
      <c r="E913" s="315">
        <v>14600</v>
      </c>
      <c r="F913" s="315">
        <f t="shared" si="251"/>
        <v>4380000</v>
      </c>
      <c r="G913" s="317"/>
      <c r="H913" s="1006"/>
      <c r="I913" s="766"/>
      <c r="J913" s="769"/>
      <c r="W913" s="54"/>
      <c r="Y913" s="549"/>
      <c r="Z913" s="51"/>
    </row>
    <row r="914" spans="2:26">
      <c r="B914" s="764"/>
      <c r="C914" s="313" t="s">
        <v>219</v>
      </c>
      <c r="D914" s="402">
        <v>610</v>
      </c>
      <c r="E914" s="315">
        <v>46000</v>
      </c>
      <c r="F914" s="315">
        <f t="shared" si="251"/>
        <v>28060000</v>
      </c>
      <c r="G914" s="317"/>
      <c r="H914" s="1007"/>
      <c r="I914" s="767"/>
      <c r="J914" s="770"/>
      <c r="W914" s="54"/>
      <c r="Y914" s="549"/>
      <c r="Z914" s="51"/>
    </row>
    <row r="915" spans="2:26">
      <c r="B915" s="572">
        <v>45643</v>
      </c>
      <c r="C915" s="381" t="s">
        <v>219</v>
      </c>
      <c r="D915" s="382">
        <v>320</v>
      </c>
      <c r="E915" s="383">
        <v>46000</v>
      </c>
      <c r="F915" s="383">
        <f t="shared" si="251"/>
        <v>14720000</v>
      </c>
      <c r="G915" s="384"/>
      <c r="H915" s="691"/>
      <c r="I915" s="688">
        <f>SUM(F915:F917)</f>
        <v>64170000</v>
      </c>
      <c r="J915" s="691"/>
      <c r="W915" s="54"/>
      <c r="Y915" s="549"/>
      <c r="Z915" s="51"/>
    </row>
    <row r="916" spans="2:26">
      <c r="B916" s="572">
        <v>45644</v>
      </c>
      <c r="C916" s="381" t="s">
        <v>219</v>
      </c>
      <c r="D916" s="382">
        <v>335</v>
      </c>
      <c r="E916" s="383">
        <v>46000</v>
      </c>
      <c r="F916" s="383">
        <f>IF(E916="-","-",D916*E916)</f>
        <v>15410000</v>
      </c>
      <c r="G916" s="384"/>
      <c r="H916" s="692"/>
      <c r="I916" s="689"/>
      <c r="J916" s="692"/>
      <c r="W916" s="54"/>
      <c r="Y916" s="549"/>
      <c r="Z916" s="51"/>
    </row>
    <row r="917" spans="2:26">
      <c r="B917" s="572">
        <v>45646</v>
      </c>
      <c r="C917" s="381" t="s">
        <v>219</v>
      </c>
      <c r="D917" s="382">
        <v>740</v>
      </c>
      <c r="E917" s="383">
        <v>46000</v>
      </c>
      <c r="F917" s="383">
        <f>IF(E917="-","-",D917*E917)</f>
        <v>34040000</v>
      </c>
      <c r="G917" s="384"/>
      <c r="H917" s="693"/>
      <c r="I917" s="690"/>
      <c r="J917" s="693"/>
      <c r="W917" s="54"/>
      <c r="Y917" s="549"/>
      <c r="Z917" s="51"/>
    </row>
    <row r="918" spans="2:26">
      <c r="B918" s="571">
        <v>45649</v>
      </c>
      <c r="C918" s="203" t="s">
        <v>219</v>
      </c>
      <c r="D918" s="329">
        <v>320</v>
      </c>
      <c r="E918" s="205">
        <v>46000</v>
      </c>
      <c r="F918" s="205">
        <f>IF(E918="-","-",D918*E918)</f>
        <v>14720000</v>
      </c>
      <c r="G918" s="274"/>
      <c r="H918" s="705"/>
      <c r="I918" s="735">
        <f>SUM(F918:F919)</f>
        <v>29440000</v>
      </c>
      <c r="J918" s="705"/>
      <c r="W918" s="54"/>
      <c r="Y918" s="550"/>
      <c r="Z918" s="51"/>
    </row>
    <row r="919" spans="2:26">
      <c r="B919" s="571">
        <v>45652</v>
      </c>
      <c r="C919" s="203" t="s">
        <v>219</v>
      </c>
      <c r="D919" s="329">
        <v>320</v>
      </c>
      <c r="E919" s="205">
        <v>46000</v>
      </c>
      <c r="F919" s="205">
        <f>IF(E919="-","-",D919*E919)</f>
        <v>14720000</v>
      </c>
      <c r="G919" s="274"/>
      <c r="H919" s="706"/>
      <c r="I919" s="736"/>
      <c r="J919" s="706"/>
      <c r="W919" s="54"/>
      <c r="Y919" s="550"/>
      <c r="Z919" s="51"/>
    </row>
    <row r="920" spans="2:26">
      <c r="B920" s="702">
        <v>45653</v>
      </c>
      <c r="C920" s="39" t="s">
        <v>220</v>
      </c>
      <c r="D920" s="323">
        <v>12</v>
      </c>
      <c r="E920" s="41">
        <f t="shared" ref="E920" si="252">IFERROR(INDEX(daftar,MATCH(C920,nmdaftar,0),2),"-")</f>
        <v>27000</v>
      </c>
      <c r="F920" s="41">
        <f t="shared" ref="F920" si="253">IF(E920="-","-",D920*E920)</f>
        <v>324000</v>
      </c>
      <c r="G920" s="43"/>
      <c r="H920" s="710"/>
      <c r="I920" s="728">
        <f>SUM(F920:F921)</f>
        <v>33444000</v>
      </c>
      <c r="J920" s="710"/>
      <c r="W920" s="54"/>
      <c r="Y920" s="550"/>
      <c r="Z920" s="51"/>
    </row>
    <row r="921" spans="2:26">
      <c r="B921" s="704"/>
      <c r="C921" s="39" t="s">
        <v>219</v>
      </c>
      <c r="D921" s="323">
        <v>720</v>
      </c>
      <c r="E921" s="41">
        <v>46000</v>
      </c>
      <c r="F921" s="41">
        <f>IF(E921="-","-",D921*E921)</f>
        <v>33120000</v>
      </c>
      <c r="G921" s="43"/>
      <c r="H921" s="711"/>
      <c r="I921" s="730"/>
      <c r="J921" s="711"/>
      <c r="W921" s="54"/>
      <c r="Y921" s="550"/>
      <c r="Z921" s="51"/>
    </row>
    <row r="922" spans="2:26">
      <c r="B922" s="570">
        <v>45659</v>
      </c>
      <c r="C922" s="232" t="s">
        <v>219</v>
      </c>
      <c r="D922" s="327">
        <v>720</v>
      </c>
      <c r="E922" s="234">
        <v>46000</v>
      </c>
      <c r="F922" s="234">
        <f>IF(E922="-","-",D922*E922)</f>
        <v>33120000</v>
      </c>
      <c r="G922" s="276"/>
      <c r="H922" s="653"/>
      <c r="I922" s="650">
        <f>SUM(F922:F923)+F878+F879</f>
        <v>51450000</v>
      </c>
      <c r="J922" s="653"/>
      <c r="W922" s="54"/>
      <c r="Y922" s="550"/>
      <c r="Z922" s="51"/>
    </row>
    <row r="923" spans="2:26" ht="15.75" thickBot="1">
      <c r="B923" s="578">
        <v>45660</v>
      </c>
      <c r="C923" s="585" t="s">
        <v>219</v>
      </c>
      <c r="D923" s="586">
        <v>335</v>
      </c>
      <c r="E923" s="587">
        <v>46000</v>
      </c>
      <c r="F923" s="587">
        <f>IF(E923="-","-",D923*E923)</f>
        <v>15410000</v>
      </c>
      <c r="G923" s="588"/>
      <c r="H923" s="654"/>
      <c r="I923" s="651"/>
      <c r="J923" s="654"/>
      <c r="W923" s="54"/>
      <c r="Y923" s="550"/>
      <c r="Z923" s="51"/>
    </row>
    <row r="924" spans="2:26">
      <c r="B924" s="707">
        <v>45664</v>
      </c>
      <c r="C924" s="589" t="s">
        <v>222</v>
      </c>
      <c r="D924" s="590">
        <v>500</v>
      </c>
      <c r="E924" s="591">
        <v>14600</v>
      </c>
      <c r="F924" s="591">
        <f t="shared" ref="F924:F925" si="254">IF(E924="-","-",D924*E924)</f>
        <v>7300000</v>
      </c>
      <c r="G924" s="592"/>
      <c r="H924" s="756"/>
      <c r="I924" s="753">
        <f>SUM(F924:F928)+53914000</f>
        <v>87134000</v>
      </c>
      <c r="J924" s="759"/>
      <c r="W924" s="54"/>
      <c r="Y924" s="557"/>
      <c r="Z924" s="51"/>
    </row>
    <row r="925" spans="2:26">
      <c r="B925" s="708"/>
      <c r="C925" s="240" t="s">
        <v>224</v>
      </c>
      <c r="D925" s="584">
        <v>100</v>
      </c>
      <c r="E925" s="242">
        <v>14600</v>
      </c>
      <c r="F925" s="242">
        <f t="shared" si="254"/>
        <v>1460000</v>
      </c>
      <c r="G925" s="277"/>
      <c r="H925" s="757"/>
      <c r="I925" s="754"/>
      <c r="J925" s="760"/>
      <c r="W925" s="54"/>
      <c r="Y925" s="557"/>
      <c r="Z925" s="51"/>
    </row>
    <row r="926" spans="2:26">
      <c r="B926" s="709"/>
      <c r="C926" s="240" t="s">
        <v>219</v>
      </c>
      <c r="D926" s="584">
        <v>200</v>
      </c>
      <c r="E926" s="242">
        <v>46000</v>
      </c>
      <c r="F926" s="242">
        <f>IF(E926="-","-",D926*E926)</f>
        <v>9200000</v>
      </c>
      <c r="G926" s="277"/>
      <c r="H926" s="757"/>
      <c r="I926" s="754"/>
      <c r="J926" s="760"/>
      <c r="W926" s="54"/>
      <c r="Y926" s="557"/>
      <c r="Z926" s="51"/>
    </row>
    <row r="927" spans="2:26">
      <c r="B927" s="714">
        <v>45664</v>
      </c>
      <c r="C927" s="240" t="s">
        <v>219</v>
      </c>
      <c r="D927" s="584">
        <v>300</v>
      </c>
      <c r="E927" s="242">
        <v>46000</v>
      </c>
      <c r="F927" s="242">
        <f>IF(E927="-","-",D927*E927)</f>
        <v>13800000</v>
      </c>
      <c r="G927" s="277"/>
      <c r="H927" s="757"/>
      <c r="I927" s="754"/>
      <c r="J927" s="760"/>
      <c r="W927" s="54"/>
      <c r="Y927" s="557"/>
      <c r="Z927" s="51"/>
    </row>
    <row r="928" spans="2:26" ht="15.75" thickBot="1">
      <c r="B928" s="715"/>
      <c r="C928" s="593" t="s">
        <v>224</v>
      </c>
      <c r="D928" s="594">
        <v>100</v>
      </c>
      <c r="E928" s="595">
        <v>14600</v>
      </c>
      <c r="F928" s="595">
        <f t="shared" ref="F928" si="255">IF(E928="-","-",D928*E928)</f>
        <v>1460000</v>
      </c>
      <c r="G928" s="596"/>
      <c r="H928" s="758"/>
      <c r="I928" s="755"/>
      <c r="J928" s="761"/>
      <c r="M928">
        <f>33220+20694</f>
        <v>53914</v>
      </c>
      <c r="W928" s="54"/>
      <c r="Y928" s="557"/>
      <c r="Z928" s="51"/>
    </row>
    <row r="929" spans="2:26">
      <c r="B929" s="739">
        <v>45665</v>
      </c>
      <c r="C929" s="597" t="s">
        <v>220</v>
      </c>
      <c r="D929" s="598">
        <v>100</v>
      </c>
      <c r="E929" s="599">
        <f t="shared" ref="E929" si="256">IFERROR(INDEX(daftar,MATCH(C929,nmdaftar,0),2),"-")</f>
        <v>27000</v>
      </c>
      <c r="F929" s="599">
        <f t="shared" ref="F929:F931" si="257">IF(E929="-","-",D929*E929)</f>
        <v>2700000</v>
      </c>
      <c r="G929" s="600"/>
      <c r="H929" s="718"/>
      <c r="I929" s="716">
        <f>SUM(F929:F934)</f>
        <v>53512500</v>
      </c>
      <c r="J929" s="717"/>
      <c r="W929" s="54"/>
      <c r="Y929" s="557"/>
      <c r="Z929" s="51"/>
    </row>
    <row r="930" spans="2:26">
      <c r="B930" s="739"/>
      <c r="C930" s="291" t="s">
        <v>222</v>
      </c>
      <c r="D930" s="435">
        <v>200</v>
      </c>
      <c r="E930" s="293">
        <v>14600</v>
      </c>
      <c r="F930" s="293">
        <f t="shared" si="257"/>
        <v>2920000</v>
      </c>
      <c r="G930" s="295"/>
      <c r="H930" s="670"/>
      <c r="I930" s="669"/>
      <c r="J930" s="672"/>
      <c r="W930" s="54"/>
      <c r="Y930" s="557"/>
      <c r="Z930" s="51"/>
    </row>
    <row r="931" spans="2:26">
      <c r="B931" s="739"/>
      <c r="C931" s="291" t="s">
        <v>224</v>
      </c>
      <c r="D931" s="435">
        <v>200</v>
      </c>
      <c r="E931" s="293">
        <v>14600</v>
      </c>
      <c r="F931" s="293">
        <f t="shared" si="257"/>
        <v>2920000</v>
      </c>
      <c r="G931" s="295"/>
      <c r="H931" s="670"/>
      <c r="I931" s="669"/>
      <c r="J931" s="672"/>
      <c r="W931" s="54"/>
      <c r="Y931" s="557"/>
      <c r="Z931" s="51"/>
    </row>
    <row r="932" spans="2:26">
      <c r="B932" s="697"/>
      <c r="C932" s="291" t="s">
        <v>219</v>
      </c>
      <c r="D932" s="435">
        <v>615</v>
      </c>
      <c r="E932" s="293">
        <v>46000</v>
      </c>
      <c r="F932" s="293">
        <f>IF(E932="-","-",D932*E932)</f>
        <v>28290000</v>
      </c>
      <c r="G932" s="295"/>
      <c r="H932" s="670"/>
      <c r="I932" s="669"/>
      <c r="J932" s="672"/>
      <c r="W932" s="54"/>
      <c r="Y932" s="557"/>
      <c r="Z932" s="51"/>
    </row>
    <row r="933" spans="2:26">
      <c r="B933" s="696">
        <v>45666</v>
      </c>
      <c r="C933" s="291" t="s">
        <v>226</v>
      </c>
      <c r="D933" s="435">
        <v>35</v>
      </c>
      <c r="E933" s="293">
        <f t="shared" ref="E933" si="258">IFERROR(INDEX(daftar,MATCH(C933,nmdaftar,0),2),"-")</f>
        <v>95500</v>
      </c>
      <c r="F933" s="293">
        <f t="shared" ref="F933" si="259">IF(E933="-","-",D933*E933)</f>
        <v>3342500</v>
      </c>
      <c r="G933" s="295"/>
      <c r="H933" s="670"/>
      <c r="I933" s="669"/>
      <c r="J933" s="672"/>
      <c r="W933" s="54"/>
      <c r="Y933" s="557"/>
      <c r="Z933" s="51"/>
    </row>
    <row r="934" spans="2:26">
      <c r="B934" s="697"/>
      <c r="C934" s="291" t="s">
        <v>219</v>
      </c>
      <c r="D934" s="435">
        <v>290</v>
      </c>
      <c r="E934" s="293">
        <v>46000</v>
      </c>
      <c r="F934" s="293">
        <f t="shared" ref="F934:F940" si="260">IF(E934="-","-",D934*E934)</f>
        <v>13340000</v>
      </c>
      <c r="G934" s="295"/>
      <c r="H934" s="659"/>
      <c r="I934" s="657"/>
      <c r="J934" s="673"/>
      <c r="W934" s="54"/>
      <c r="Y934" s="557"/>
      <c r="Z934" s="51"/>
    </row>
    <row r="935" spans="2:26">
      <c r="B935" s="601">
        <v>45672</v>
      </c>
      <c r="C935" s="580" t="s">
        <v>219</v>
      </c>
      <c r="D935" s="581">
        <v>295</v>
      </c>
      <c r="E935" s="582">
        <v>46000</v>
      </c>
      <c r="F935" s="582">
        <f t="shared" si="260"/>
        <v>13570000</v>
      </c>
      <c r="G935" s="583"/>
      <c r="H935" s="725"/>
      <c r="I935" s="719">
        <f>F935+F936+F937</f>
        <v>43700000</v>
      </c>
      <c r="J935" s="722"/>
      <c r="W935" s="54"/>
      <c r="Y935" s="567"/>
      <c r="Z935" s="51"/>
    </row>
    <row r="936" spans="2:26">
      <c r="B936" s="601">
        <v>45677</v>
      </c>
      <c r="C936" s="580" t="s">
        <v>219</v>
      </c>
      <c r="D936" s="581">
        <v>335</v>
      </c>
      <c r="E936" s="582">
        <v>46000</v>
      </c>
      <c r="F936" s="582">
        <f t="shared" si="260"/>
        <v>15410000</v>
      </c>
      <c r="G936" s="583"/>
      <c r="H936" s="726"/>
      <c r="I936" s="720"/>
      <c r="J936" s="723"/>
      <c r="W936" s="54"/>
      <c r="Y936" s="567"/>
      <c r="Z936" s="51"/>
    </row>
    <row r="937" spans="2:26">
      <c r="B937" s="601">
        <v>45679</v>
      </c>
      <c r="C937" s="580" t="s">
        <v>219</v>
      </c>
      <c r="D937" s="581">
        <v>320</v>
      </c>
      <c r="E937" s="582">
        <v>46000</v>
      </c>
      <c r="F937" s="582">
        <f t="shared" si="260"/>
        <v>14720000</v>
      </c>
      <c r="G937" s="583"/>
      <c r="H937" s="727"/>
      <c r="I937" s="721"/>
      <c r="J937" s="724"/>
      <c r="W937" s="54"/>
      <c r="Y937" s="560"/>
      <c r="Z937" s="51"/>
    </row>
    <row r="938" spans="2:26">
      <c r="B938" s="603">
        <v>45683</v>
      </c>
      <c r="C938" s="203" t="s">
        <v>219</v>
      </c>
      <c r="D938" s="329">
        <v>720</v>
      </c>
      <c r="E938" s="205">
        <v>46000</v>
      </c>
      <c r="F938" s="205">
        <f t="shared" si="260"/>
        <v>33120000</v>
      </c>
      <c r="G938" s="274"/>
      <c r="H938" s="705"/>
      <c r="I938" s="735">
        <f>F938+F939</f>
        <v>48530000</v>
      </c>
      <c r="J938" s="737"/>
      <c r="W938" s="54"/>
      <c r="Y938" s="557"/>
      <c r="Z938" s="51"/>
    </row>
    <row r="939" spans="2:26">
      <c r="B939" s="603">
        <v>45686</v>
      </c>
      <c r="C939" s="203" t="s">
        <v>219</v>
      </c>
      <c r="D939" s="329">
        <v>335</v>
      </c>
      <c r="E939" s="205">
        <v>46000</v>
      </c>
      <c r="F939" s="205">
        <f t="shared" si="260"/>
        <v>15410000</v>
      </c>
      <c r="G939" s="274"/>
      <c r="H939" s="706"/>
      <c r="I939" s="736"/>
      <c r="J939" s="738"/>
      <c r="W939" s="54"/>
      <c r="Y939" s="568"/>
      <c r="Z939" s="51"/>
    </row>
    <row r="940" spans="2:26">
      <c r="B940" s="602">
        <v>45691</v>
      </c>
      <c r="C940" s="39" t="s">
        <v>219</v>
      </c>
      <c r="D940" s="323">
        <v>720</v>
      </c>
      <c r="E940" s="41">
        <v>46000</v>
      </c>
      <c r="F940" s="41">
        <f t="shared" si="260"/>
        <v>33120000</v>
      </c>
      <c r="G940" s="43"/>
      <c r="H940" s="710">
        <v>45740</v>
      </c>
      <c r="I940" s="728">
        <f>SUM(F940:F946)</f>
        <v>82545000</v>
      </c>
      <c r="J940" s="732"/>
      <c r="W940" s="54"/>
      <c r="Y940" s="568"/>
      <c r="Z940" s="51"/>
    </row>
    <row r="941" spans="2:26">
      <c r="B941" s="602">
        <v>45692</v>
      </c>
      <c r="C941" s="39" t="s">
        <v>219</v>
      </c>
      <c r="D941" s="323">
        <v>320</v>
      </c>
      <c r="E941" s="41">
        <v>46000</v>
      </c>
      <c r="F941" s="41">
        <f t="shared" ref="F941" si="261">IF(E941="-","-",D941*E941)</f>
        <v>14720000</v>
      </c>
      <c r="G941" s="43"/>
      <c r="H941" s="731"/>
      <c r="I941" s="729"/>
      <c r="J941" s="733"/>
      <c r="W941" s="54"/>
      <c r="Y941" s="569"/>
      <c r="Z941" s="51"/>
    </row>
    <row r="942" spans="2:26">
      <c r="B942" s="702">
        <v>45694</v>
      </c>
      <c r="C942" s="39" t="s">
        <v>222</v>
      </c>
      <c r="D942" s="323">
        <v>400</v>
      </c>
      <c r="E942" s="41">
        <v>14600</v>
      </c>
      <c r="F942" s="41">
        <f t="shared" ref="F942:F943" si="262">IF(E942="-","-",D942*E942)</f>
        <v>5840000</v>
      </c>
      <c r="G942" s="43"/>
      <c r="H942" s="731"/>
      <c r="I942" s="729"/>
      <c r="J942" s="733"/>
      <c r="W942" s="54"/>
      <c r="Y942" s="569"/>
      <c r="Z942" s="51"/>
    </row>
    <row r="943" spans="2:26">
      <c r="B943" s="703"/>
      <c r="C943" s="39" t="s">
        <v>224</v>
      </c>
      <c r="D943" s="323">
        <v>200</v>
      </c>
      <c r="E943" s="41">
        <v>14600</v>
      </c>
      <c r="F943" s="41">
        <f t="shared" si="262"/>
        <v>2920000</v>
      </c>
      <c r="G943" s="43"/>
      <c r="H943" s="731"/>
      <c r="I943" s="729"/>
      <c r="J943" s="733"/>
      <c r="W943" s="54"/>
      <c r="Y943" s="569"/>
      <c r="Z943" s="51"/>
    </row>
    <row r="944" spans="2:26">
      <c r="B944" s="704"/>
      <c r="C944" s="39" t="s">
        <v>219</v>
      </c>
      <c r="D944" s="323">
        <v>210</v>
      </c>
      <c r="E944" s="41">
        <v>46000</v>
      </c>
      <c r="F944" s="41">
        <f t="shared" ref="F944" si="263">IF(E944="-","-",D944*E944)</f>
        <v>9660000</v>
      </c>
      <c r="G944" s="43"/>
      <c r="H944" s="731"/>
      <c r="I944" s="729"/>
      <c r="J944" s="733"/>
      <c r="W944" s="54"/>
      <c r="Y944" s="569"/>
      <c r="Z944" s="51"/>
    </row>
    <row r="945" spans="2:26">
      <c r="B945" s="702">
        <v>45695</v>
      </c>
      <c r="C945" s="39" t="s">
        <v>220</v>
      </c>
      <c r="D945" s="323">
        <v>75</v>
      </c>
      <c r="E945" s="41">
        <f t="shared" ref="E945" si="264">IFERROR(INDEX(daftar,MATCH(C945,nmdaftar,0),2),"-")</f>
        <v>27000</v>
      </c>
      <c r="F945" s="41">
        <f t="shared" ref="F945" si="265">IF(E945="-","-",D945*E945)</f>
        <v>2025000</v>
      </c>
      <c r="G945" s="43"/>
      <c r="H945" s="731"/>
      <c r="I945" s="729"/>
      <c r="J945" s="733"/>
      <c r="W945" s="54"/>
      <c r="Y945" s="569"/>
      <c r="Z945" s="51"/>
    </row>
    <row r="946" spans="2:26">
      <c r="B946" s="704"/>
      <c r="C946" s="39" t="s">
        <v>219</v>
      </c>
      <c r="D946" s="323">
        <v>310</v>
      </c>
      <c r="E946" s="41">
        <v>46000</v>
      </c>
      <c r="F946" s="41">
        <f t="shared" ref="F946" si="266">IF(E946="-","-",D946*E946)</f>
        <v>14260000</v>
      </c>
      <c r="G946" s="43"/>
      <c r="H946" s="711"/>
      <c r="I946" s="730"/>
      <c r="J946" s="734"/>
      <c r="W946" s="54"/>
      <c r="Y946" s="569"/>
      <c r="Z946" s="51"/>
    </row>
    <row r="947" spans="2:26">
      <c r="B947" s="611">
        <v>45698</v>
      </c>
      <c r="C947" s="232" t="s">
        <v>219</v>
      </c>
      <c r="D947" s="327">
        <v>320</v>
      </c>
      <c r="E947" s="234">
        <v>46000</v>
      </c>
      <c r="F947" s="234">
        <f t="shared" ref="F947" si="267">IF(E947="-","-",D947*E947)</f>
        <v>14720000</v>
      </c>
      <c r="G947" s="276"/>
      <c r="H947" s="653">
        <v>45378</v>
      </c>
      <c r="I947" s="650">
        <f>F947+F948</f>
        <v>30130000</v>
      </c>
      <c r="J947" s="674"/>
      <c r="W947" s="54"/>
      <c r="Y947" s="569"/>
      <c r="Z947" s="51"/>
    </row>
    <row r="948" spans="2:26">
      <c r="B948" s="611">
        <v>45700</v>
      </c>
      <c r="C948" s="232" t="s">
        <v>219</v>
      </c>
      <c r="D948" s="327">
        <v>335</v>
      </c>
      <c r="E948" s="234">
        <v>46000</v>
      </c>
      <c r="F948" s="234">
        <f t="shared" ref="F948:F965" si="268">IF(E948="-","-",D948*E948)</f>
        <v>15410000</v>
      </c>
      <c r="G948" s="276"/>
      <c r="H948" s="655"/>
      <c r="I948" s="652"/>
      <c r="J948" s="675"/>
      <c r="W948" s="54"/>
      <c r="Y948" s="568"/>
      <c r="Z948" s="51"/>
    </row>
    <row r="949" spans="2:26">
      <c r="B949" s="612">
        <v>45702</v>
      </c>
      <c r="C949" s="203" t="s">
        <v>219</v>
      </c>
      <c r="D949" s="329">
        <v>335</v>
      </c>
      <c r="E949" s="205">
        <v>46000</v>
      </c>
      <c r="F949" s="205">
        <f t="shared" si="268"/>
        <v>15410000</v>
      </c>
      <c r="G949" s="274"/>
      <c r="H949" s="705">
        <v>45390</v>
      </c>
      <c r="I949" s="735">
        <f>SUM(F949:F954)</f>
        <v>76228000</v>
      </c>
      <c r="J949" s="737"/>
      <c r="M949" s="577">
        <v>45702</v>
      </c>
      <c r="N949" s="57" t="s">
        <v>219</v>
      </c>
      <c r="O949" s="329">
        <v>335</v>
      </c>
      <c r="P949" s="58">
        <v>46000</v>
      </c>
      <c r="Q949" s="205">
        <f t="shared" ref="Q949:Q965" si="269">IF(P949="-","-",O949*P949)</f>
        <v>15410000</v>
      </c>
      <c r="W949" s="54"/>
      <c r="Y949" s="573"/>
      <c r="Z949" s="51"/>
    </row>
    <row r="950" spans="2:26">
      <c r="B950" s="612">
        <v>45705</v>
      </c>
      <c r="C950" s="203" t="s">
        <v>219</v>
      </c>
      <c r="D950" s="329">
        <v>325</v>
      </c>
      <c r="E950" s="205">
        <v>46000</v>
      </c>
      <c r="F950" s="205">
        <f t="shared" si="268"/>
        <v>14950000</v>
      </c>
      <c r="G950" s="274"/>
      <c r="H950" s="750"/>
      <c r="I950" s="749"/>
      <c r="J950" s="751"/>
      <c r="M950" s="577">
        <v>45705</v>
      </c>
      <c r="N950" s="57" t="s">
        <v>219</v>
      </c>
      <c r="O950" s="329">
        <v>325</v>
      </c>
      <c r="P950" s="58">
        <v>46000</v>
      </c>
      <c r="Q950" s="205">
        <f t="shared" si="269"/>
        <v>14950000</v>
      </c>
      <c r="W950" s="54"/>
      <c r="Y950" s="573"/>
      <c r="Z950" s="51"/>
    </row>
    <row r="951" spans="2:26">
      <c r="B951" s="612">
        <v>45706</v>
      </c>
      <c r="C951" s="203" t="s">
        <v>219</v>
      </c>
      <c r="D951" s="329">
        <v>325</v>
      </c>
      <c r="E951" s="205">
        <v>46000</v>
      </c>
      <c r="F951" s="205">
        <f t="shared" si="268"/>
        <v>14950000</v>
      </c>
      <c r="G951" s="274"/>
      <c r="H951" s="750"/>
      <c r="I951" s="749"/>
      <c r="J951" s="751"/>
      <c r="M951" s="577">
        <v>45706</v>
      </c>
      <c r="N951" s="57" t="s">
        <v>219</v>
      </c>
      <c r="O951" s="329">
        <v>325</v>
      </c>
      <c r="P951" s="58">
        <v>46000</v>
      </c>
      <c r="Q951" s="205">
        <f t="shared" si="269"/>
        <v>14950000</v>
      </c>
      <c r="W951" s="54"/>
      <c r="Y951" s="573"/>
      <c r="Z951" s="51"/>
    </row>
    <row r="952" spans="2:26">
      <c r="B952" s="712">
        <v>45712</v>
      </c>
      <c r="C952" s="203" t="s">
        <v>220</v>
      </c>
      <c r="D952" s="329">
        <v>174</v>
      </c>
      <c r="E952" s="205">
        <f t="shared" ref="E952" si="270">IFERROR(INDEX(daftar,MATCH(C952,nmdaftar,0),2),"-")</f>
        <v>27000</v>
      </c>
      <c r="F952" s="205">
        <f t="shared" si="268"/>
        <v>4698000</v>
      </c>
      <c r="G952" s="274"/>
      <c r="H952" s="750"/>
      <c r="I952" s="749"/>
      <c r="J952" s="751"/>
      <c r="M952" s="647">
        <v>45712</v>
      </c>
      <c r="N952" s="57" t="s">
        <v>220</v>
      </c>
      <c r="O952" s="329">
        <v>174</v>
      </c>
      <c r="P952" s="58">
        <f t="shared" ref="P952" si="271">IFERROR(INDEX(daftar,MATCH(N952,nmdaftar,0),2),"-")</f>
        <v>27000</v>
      </c>
      <c r="Q952" s="205">
        <f t="shared" si="269"/>
        <v>4698000</v>
      </c>
      <c r="W952" s="54"/>
      <c r="Y952" s="573"/>
      <c r="Z952" s="51"/>
    </row>
    <row r="953" spans="2:26">
      <c r="B953" s="713"/>
      <c r="C953" s="203" t="s">
        <v>219</v>
      </c>
      <c r="D953" s="329">
        <v>240</v>
      </c>
      <c r="E953" s="205">
        <v>46000</v>
      </c>
      <c r="F953" s="205">
        <f t="shared" si="268"/>
        <v>11040000</v>
      </c>
      <c r="G953" s="274"/>
      <c r="H953" s="750"/>
      <c r="I953" s="749"/>
      <c r="J953" s="751"/>
      <c r="M953" s="649"/>
      <c r="N953" s="57" t="s">
        <v>219</v>
      </c>
      <c r="O953" s="329">
        <v>240</v>
      </c>
      <c r="P953" s="58">
        <v>46000</v>
      </c>
      <c r="Q953" s="205">
        <f t="shared" si="269"/>
        <v>11040000</v>
      </c>
      <c r="W953" s="54"/>
      <c r="Y953" s="573"/>
      <c r="Z953" s="51"/>
    </row>
    <row r="954" spans="2:26">
      <c r="B954" s="612">
        <v>45714</v>
      </c>
      <c r="C954" s="203" t="s">
        <v>219</v>
      </c>
      <c r="D954" s="329">
        <v>330</v>
      </c>
      <c r="E954" s="205">
        <v>46000</v>
      </c>
      <c r="F954" s="205">
        <f t="shared" si="268"/>
        <v>15180000</v>
      </c>
      <c r="G954" s="274"/>
      <c r="H954" s="706"/>
      <c r="I954" s="736"/>
      <c r="J954" s="738"/>
      <c r="M954" s="577">
        <v>45714</v>
      </c>
      <c r="N954" s="57" t="s">
        <v>219</v>
      </c>
      <c r="O954" s="329">
        <v>330</v>
      </c>
      <c r="P954" s="58">
        <v>46000</v>
      </c>
      <c r="Q954" s="205">
        <f t="shared" si="269"/>
        <v>15180000</v>
      </c>
      <c r="W954" s="54"/>
      <c r="Y954" s="573"/>
      <c r="Z954" s="51"/>
    </row>
    <row r="955" spans="2:26">
      <c r="B955" s="611">
        <v>45716</v>
      </c>
      <c r="C955" s="232" t="s">
        <v>219</v>
      </c>
      <c r="D955" s="327">
        <v>720</v>
      </c>
      <c r="E955" s="234">
        <v>46000</v>
      </c>
      <c r="F955" s="234">
        <f t="shared" si="268"/>
        <v>33120000</v>
      </c>
      <c r="G955" s="276"/>
      <c r="H955" s="653">
        <v>45394</v>
      </c>
      <c r="I955" s="650">
        <f>SUM(F955:F958)</f>
        <v>79350000</v>
      </c>
      <c r="J955" s="674"/>
      <c r="M955" s="577">
        <v>45716</v>
      </c>
      <c r="N955" s="57" t="s">
        <v>219</v>
      </c>
      <c r="O955" s="329">
        <v>720</v>
      </c>
      <c r="P955" s="58">
        <v>46000</v>
      </c>
      <c r="Q955" s="205">
        <f t="shared" si="269"/>
        <v>33120000</v>
      </c>
      <c r="W955" s="54"/>
      <c r="Y955" s="575"/>
      <c r="Z955" s="51"/>
    </row>
    <row r="956" spans="2:26">
      <c r="B956" s="611">
        <v>45719</v>
      </c>
      <c r="C956" s="232" t="s">
        <v>219</v>
      </c>
      <c r="D956" s="327">
        <v>335</v>
      </c>
      <c r="E956" s="234">
        <v>46000</v>
      </c>
      <c r="F956" s="234">
        <f t="shared" si="268"/>
        <v>15410000</v>
      </c>
      <c r="G956" s="276"/>
      <c r="H956" s="654"/>
      <c r="I956" s="651"/>
      <c r="J956" s="752"/>
      <c r="M956" s="577">
        <v>45719</v>
      </c>
      <c r="N956" s="57" t="s">
        <v>219</v>
      </c>
      <c r="O956" s="329">
        <v>335</v>
      </c>
      <c r="P956" s="58">
        <v>46000</v>
      </c>
      <c r="Q956" s="205">
        <f t="shared" si="269"/>
        <v>15410000</v>
      </c>
      <c r="W956" s="54"/>
      <c r="Y956" s="575"/>
      <c r="Z956" s="51"/>
    </row>
    <row r="957" spans="2:26">
      <c r="B957" s="611">
        <v>45720</v>
      </c>
      <c r="C957" s="232" t="s">
        <v>219</v>
      </c>
      <c r="D957" s="327">
        <v>335</v>
      </c>
      <c r="E957" s="234">
        <v>46000</v>
      </c>
      <c r="F957" s="234">
        <f t="shared" si="268"/>
        <v>15410000</v>
      </c>
      <c r="G957" s="276"/>
      <c r="H957" s="654"/>
      <c r="I957" s="651"/>
      <c r="J957" s="752"/>
      <c r="M957" s="577">
        <v>45720</v>
      </c>
      <c r="N957" s="57" t="s">
        <v>219</v>
      </c>
      <c r="O957" s="329">
        <v>335</v>
      </c>
      <c r="P957" s="58">
        <v>46000</v>
      </c>
      <c r="Q957" s="205">
        <f t="shared" si="269"/>
        <v>15410000</v>
      </c>
      <c r="W957" s="54"/>
      <c r="Y957" s="575"/>
      <c r="Z957" s="51"/>
    </row>
    <row r="958" spans="2:26">
      <c r="B958" s="611">
        <v>45721</v>
      </c>
      <c r="C958" s="232" t="s">
        <v>219</v>
      </c>
      <c r="D958" s="327">
        <v>335</v>
      </c>
      <c r="E958" s="234">
        <v>46000</v>
      </c>
      <c r="F958" s="234">
        <f t="shared" si="268"/>
        <v>15410000</v>
      </c>
      <c r="G958" s="276"/>
      <c r="H958" s="655"/>
      <c r="I958" s="652"/>
      <c r="J958" s="675"/>
      <c r="M958" s="577">
        <v>45721</v>
      </c>
      <c r="N958" s="57" t="s">
        <v>219</v>
      </c>
      <c r="O958" s="329">
        <v>335</v>
      </c>
      <c r="P958" s="58">
        <v>46000</v>
      </c>
      <c r="Q958" s="205">
        <f t="shared" si="269"/>
        <v>15410000</v>
      </c>
      <c r="W958" s="54"/>
      <c r="Y958" s="575"/>
      <c r="Z958" s="51"/>
    </row>
    <row r="959" spans="2:26">
      <c r="B959" s="702">
        <v>45722</v>
      </c>
      <c r="C959" s="39" t="s">
        <v>220</v>
      </c>
      <c r="D959" s="323">
        <v>614</v>
      </c>
      <c r="E959" s="41">
        <f t="shared" ref="E959" si="272">IFERROR(INDEX(daftar,MATCH(C959,nmdaftar,0),2),"-")</f>
        <v>27000</v>
      </c>
      <c r="F959" s="41">
        <f t="shared" si="268"/>
        <v>16578000</v>
      </c>
      <c r="G959" s="43"/>
      <c r="H959" s="710"/>
      <c r="I959" s="728">
        <f>SUM(F959:F968)</f>
        <v>133788000</v>
      </c>
      <c r="J959" s="732"/>
      <c r="M959" s="647">
        <v>45722</v>
      </c>
      <c r="N959" s="57" t="s">
        <v>220</v>
      </c>
      <c r="O959" s="329">
        <v>614</v>
      </c>
      <c r="P959" s="58">
        <f t="shared" ref="P959" si="273">IFERROR(INDEX(daftar,MATCH(N959,nmdaftar,0),2),"-")</f>
        <v>27000</v>
      </c>
      <c r="Q959" s="205">
        <f t="shared" si="269"/>
        <v>16578000</v>
      </c>
      <c r="W959" s="54"/>
      <c r="Y959" s="575"/>
      <c r="Z959" s="51"/>
    </row>
    <row r="960" spans="2:26">
      <c r="B960" s="704"/>
      <c r="C960" s="39" t="s">
        <v>219</v>
      </c>
      <c r="D960" s="323">
        <v>60</v>
      </c>
      <c r="E960" s="41">
        <v>46000</v>
      </c>
      <c r="F960" s="41">
        <f t="shared" si="268"/>
        <v>2760000</v>
      </c>
      <c r="G960" s="43"/>
      <c r="H960" s="731"/>
      <c r="I960" s="729"/>
      <c r="J960" s="733"/>
      <c r="M960" s="649"/>
      <c r="N960" s="57" t="s">
        <v>219</v>
      </c>
      <c r="O960" s="329">
        <v>60</v>
      </c>
      <c r="P960" s="58">
        <v>46000</v>
      </c>
      <c r="Q960" s="205">
        <f t="shared" si="269"/>
        <v>2760000</v>
      </c>
      <c r="W960" s="54"/>
      <c r="Y960" s="573"/>
      <c r="Z960" s="51"/>
    </row>
    <row r="961" spans="2:26">
      <c r="B961" s="702">
        <v>45723</v>
      </c>
      <c r="C961" s="39" t="s">
        <v>222</v>
      </c>
      <c r="D961" s="323">
        <v>300</v>
      </c>
      <c r="E961" s="41">
        <v>14600</v>
      </c>
      <c r="F961" s="41">
        <f t="shared" si="268"/>
        <v>4380000</v>
      </c>
      <c r="G961" s="43"/>
      <c r="H961" s="731"/>
      <c r="I961" s="729"/>
      <c r="J961" s="733"/>
      <c r="M961" s="647">
        <v>45723</v>
      </c>
      <c r="N961" s="57" t="s">
        <v>222</v>
      </c>
      <c r="O961" s="329">
        <v>300</v>
      </c>
      <c r="P961" s="58">
        <v>14600</v>
      </c>
      <c r="Q961" s="205">
        <f t="shared" si="269"/>
        <v>4380000</v>
      </c>
      <c r="W961" s="54"/>
      <c r="Y961" s="574"/>
      <c r="Z961" s="51"/>
    </row>
    <row r="962" spans="2:26">
      <c r="B962" s="703"/>
      <c r="C962" s="39" t="s">
        <v>224</v>
      </c>
      <c r="D962" s="323">
        <v>300</v>
      </c>
      <c r="E962" s="41">
        <v>14600</v>
      </c>
      <c r="F962" s="41">
        <f t="shared" si="268"/>
        <v>4380000</v>
      </c>
      <c r="G962" s="43"/>
      <c r="H962" s="731"/>
      <c r="I962" s="729"/>
      <c r="J962" s="733"/>
      <c r="M962" s="648"/>
      <c r="N962" s="57" t="s">
        <v>224</v>
      </c>
      <c r="O962" s="329">
        <v>300</v>
      </c>
      <c r="P962" s="58">
        <v>14600</v>
      </c>
      <c r="Q962" s="205">
        <f t="shared" si="269"/>
        <v>4380000</v>
      </c>
      <c r="W962" s="54"/>
      <c r="Y962" s="574"/>
      <c r="Z962" s="51"/>
    </row>
    <row r="963" spans="2:26">
      <c r="B963" s="704"/>
      <c r="C963" s="39" t="s">
        <v>219</v>
      </c>
      <c r="D963" s="323">
        <v>180</v>
      </c>
      <c r="E963" s="41">
        <v>46000</v>
      </c>
      <c r="F963" s="41">
        <f t="shared" si="268"/>
        <v>8280000</v>
      </c>
      <c r="G963" s="43"/>
      <c r="H963" s="731"/>
      <c r="I963" s="729"/>
      <c r="J963" s="733"/>
      <c r="M963" s="649"/>
      <c r="N963" s="57" t="s">
        <v>219</v>
      </c>
      <c r="O963" s="329">
        <v>180</v>
      </c>
      <c r="P963" s="58">
        <v>46000</v>
      </c>
      <c r="Q963" s="205">
        <f t="shared" si="269"/>
        <v>8280000</v>
      </c>
      <c r="W963" s="54"/>
      <c r="Y963" s="574"/>
      <c r="Z963" s="51"/>
    </row>
    <row r="964" spans="2:26">
      <c r="B964" s="613">
        <v>45727</v>
      </c>
      <c r="C964" s="39" t="s">
        <v>219</v>
      </c>
      <c r="D964" s="323">
        <v>720</v>
      </c>
      <c r="E964" s="41">
        <v>46000</v>
      </c>
      <c r="F964" s="41">
        <f t="shared" si="268"/>
        <v>33120000</v>
      </c>
      <c r="G964" s="43"/>
      <c r="H964" s="731"/>
      <c r="I964" s="729"/>
      <c r="J964" s="733"/>
      <c r="M964" s="577">
        <v>45727</v>
      </c>
      <c r="N964" s="57" t="s">
        <v>219</v>
      </c>
      <c r="O964" s="329">
        <v>720</v>
      </c>
      <c r="P964" s="58">
        <v>46000</v>
      </c>
      <c r="Q964" s="205">
        <f t="shared" si="269"/>
        <v>33120000</v>
      </c>
      <c r="W964" s="54"/>
      <c r="Y964" s="574"/>
      <c r="Z964" s="51"/>
    </row>
    <row r="965" spans="2:26">
      <c r="B965" s="613">
        <v>45729</v>
      </c>
      <c r="C965" s="39" t="s">
        <v>219</v>
      </c>
      <c r="D965" s="323">
        <v>335</v>
      </c>
      <c r="E965" s="41">
        <v>46000</v>
      </c>
      <c r="F965" s="41">
        <f t="shared" si="268"/>
        <v>15410000</v>
      </c>
      <c r="G965" s="43"/>
      <c r="H965" s="731"/>
      <c r="I965" s="729"/>
      <c r="J965" s="733"/>
      <c r="M965" s="577">
        <v>45729</v>
      </c>
      <c r="N965" s="57" t="s">
        <v>219</v>
      </c>
      <c r="O965" s="329">
        <v>335</v>
      </c>
      <c r="P965" s="58">
        <v>46000</v>
      </c>
      <c r="Q965" s="205">
        <f t="shared" si="269"/>
        <v>15410000</v>
      </c>
      <c r="W965" s="54"/>
      <c r="Y965" s="574"/>
      <c r="Z965" s="51"/>
    </row>
    <row r="966" spans="2:26">
      <c r="B966" s="613">
        <v>45731</v>
      </c>
      <c r="C966" s="39" t="s">
        <v>219</v>
      </c>
      <c r="D966" s="323">
        <v>325</v>
      </c>
      <c r="E966" s="41">
        <v>46000</v>
      </c>
      <c r="F966" s="41">
        <f t="shared" ref="F966" si="274">IF(E966="-","-",D966*E966)</f>
        <v>14950000</v>
      </c>
      <c r="G966" s="43"/>
      <c r="H966" s="731"/>
      <c r="I966" s="729"/>
      <c r="J966" s="733"/>
      <c r="M966" s="604"/>
      <c r="N966" s="605"/>
      <c r="O966" s="606"/>
      <c r="P966" s="607"/>
      <c r="Q966" s="608"/>
      <c r="W966" s="54"/>
      <c r="Y966" s="579"/>
      <c r="Z966" s="51"/>
    </row>
    <row r="967" spans="2:26">
      <c r="B967" s="702">
        <v>45733</v>
      </c>
      <c r="C967" s="39" t="s">
        <v>226</v>
      </c>
      <c r="D967" s="323">
        <v>100</v>
      </c>
      <c r="E967" s="41">
        <f t="shared" ref="E967" si="275">IFERROR(INDEX(daftar,MATCH(C967,nmdaftar,0),2),"-")</f>
        <v>95500</v>
      </c>
      <c r="F967" s="41">
        <f t="shared" ref="F967" si="276">IF(E967="-","-",D967*E967)</f>
        <v>9550000</v>
      </c>
      <c r="G967" s="43"/>
      <c r="H967" s="731"/>
      <c r="I967" s="729"/>
      <c r="J967" s="733"/>
      <c r="M967" s="604"/>
      <c r="N967" s="605"/>
      <c r="O967" s="606"/>
      <c r="P967" s="607"/>
      <c r="Q967" s="608"/>
      <c r="W967" s="54"/>
      <c r="Y967" s="579"/>
      <c r="Z967" s="51"/>
    </row>
    <row r="968" spans="2:26">
      <c r="B968" s="704"/>
      <c r="C968" s="39" t="s">
        <v>219</v>
      </c>
      <c r="D968" s="323">
        <v>530</v>
      </c>
      <c r="E968" s="41">
        <v>46000</v>
      </c>
      <c r="F968" s="41">
        <f t="shared" ref="F968:F974" si="277">IF(E968="-","-",D968*E968)</f>
        <v>24380000</v>
      </c>
      <c r="G968" s="43"/>
      <c r="H968" s="711"/>
      <c r="I968" s="730"/>
      <c r="J968" s="734"/>
      <c r="M968" s="604"/>
      <c r="N968" s="605"/>
      <c r="O968" s="606"/>
      <c r="P968" s="607"/>
      <c r="Q968" s="608"/>
      <c r="W968" s="54"/>
      <c r="Y968" s="579"/>
      <c r="Z968" s="51"/>
    </row>
    <row r="969" spans="2:26">
      <c r="B969" s="616">
        <v>45735</v>
      </c>
      <c r="C969" s="191" t="s">
        <v>219</v>
      </c>
      <c r="D969" s="434">
        <v>320</v>
      </c>
      <c r="E969" s="193">
        <v>46000</v>
      </c>
      <c r="F969" s="193">
        <f t="shared" si="277"/>
        <v>14720000</v>
      </c>
      <c r="G969" s="272"/>
      <c r="H969" s="663"/>
      <c r="I969" s="660">
        <f>F969+F970+F971</f>
        <v>63250000</v>
      </c>
      <c r="J969" s="666"/>
      <c r="M969" s="604"/>
      <c r="N969" s="605"/>
      <c r="O969" s="606"/>
      <c r="P969" s="607"/>
      <c r="Q969" s="608"/>
      <c r="W969" s="54"/>
      <c r="Y969" s="579"/>
      <c r="Z969" s="51"/>
    </row>
    <row r="970" spans="2:26">
      <c r="B970" s="616">
        <v>45737</v>
      </c>
      <c r="C970" s="191" t="s">
        <v>219</v>
      </c>
      <c r="D970" s="434">
        <v>335</v>
      </c>
      <c r="E970" s="193">
        <v>46000</v>
      </c>
      <c r="F970" s="193">
        <f t="shared" si="277"/>
        <v>15410000</v>
      </c>
      <c r="G970" s="272"/>
      <c r="H970" s="664"/>
      <c r="I970" s="661"/>
      <c r="J970" s="667"/>
      <c r="M970" s="604"/>
      <c r="N970" s="605"/>
      <c r="O970" s="606"/>
      <c r="P970" s="607"/>
      <c r="Q970" s="608"/>
      <c r="W970" s="54"/>
      <c r="Y970" s="609"/>
      <c r="Z970" s="51"/>
    </row>
    <row r="971" spans="2:26">
      <c r="B971" s="616">
        <v>45740</v>
      </c>
      <c r="C971" s="191" t="s">
        <v>219</v>
      </c>
      <c r="D971" s="434">
        <v>720</v>
      </c>
      <c r="E971" s="193">
        <v>46000</v>
      </c>
      <c r="F971" s="193">
        <f t="shared" si="277"/>
        <v>33120000</v>
      </c>
      <c r="G971" s="272"/>
      <c r="H971" s="665"/>
      <c r="I971" s="662"/>
      <c r="J971" s="668"/>
      <c r="M971" s="604"/>
      <c r="N971" s="605"/>
      <c r="O971" s="606"/>
      <c r="P971" s="607"/>
      <c r="Q971" s="608"/>
      <c r="W971" s="54"/>
      <c r="Y971" s="609"/>
      <c r="Z971" s="51"/>
    </row>
    <row r="972" spans="2:26">
      <c r="B972" s="617">
        <v>45742</v>
      </c>
      <c r="C972" s="471" t="s">
        <v>219</v>
      </c>
      <c r="D972" s="472">
        <v>325</v>
      </c>
      <c r="E972" s="473">
        <v>46000</v>
      </c>
      <c r="F972" s="473">
        <f t="shared" si="277"/>
        <v>14950000</v>
      </c>
      <c r="G972" s="474"/>
      <c r="H972" s="743"/>
      <c r="I972" s="740">
        <f>SUM(F972:F975)</f>
        <v>79580000</v>
      </c>
      <c r="J972" s="746"/>
      <c r="M972" s="604"/>
      <c r="N972" s="605"/>
      <c r="O972" s="606"/>
      <c r="P972" s="607"/>
      <c r="Q972" s="608"/>
      <c r="W972" s="54"/>
      <c r="Y972" s="609"/>
      <c r="Z972" s="51"/>
    </row>
    <row r="973" spans="2:26">
      <c r="B973" s="617">
        <v>45743</v>
      </c>
      <c r="C973" s="471" t="s">
        <v>219</v>
      </c>
      <c r="D973" s="472">
        <v>345</v>
      </c>
      <c r="E973" s="473">
        <v>46000</v>
      </c>
      <c r="F973" s="473">
        <f t="shared" si="277"/>
        <v>15870000</v>
      </c>
      <c r="G973" s="474"/>
      <c r="H973" s="744"/>
      <c r="I973" s="741"/>
      <c r="J973" s="747"/>
      <c r="M973" s="604"/>
      <c r="N973" s="605"/>
      <c r="O973" s="606"/>
      <c r="P973" s="607"/>
      <c r="Q973" s="608"/>
      <c r="W973" s="54"/>
      <c r="Y973" s="609"/>
      <c r="Z973" s="51"/>
    </row>
    <row r="974" spans="2:26">
      <c r="B974" s="617">
        <v>45743</v>
      </c>
      <c r="C974" s="471" t="s">
        <v>219</v>
      </c>
      <c r="D974" s="472">
        <v>740</v>
      </c>
      <c r="E974" s="473">
        <v>46000</v>
      </c>
      <c r="F974" s="473">
        <f t="shared" si="277"/>
        <v>34040000</v>
      </c>
      <c r="G974" s="474"/>
      <c r="H974" s="744"/>
      <c r="I974" s="741"/>
      <c r="J974" s="747"/>
      <c r="M974" s="604"/>
      <c r="N974" s="605"/>
      <c r="O974" s="606"/>
      <c r="P974" s="607"/>
      <c r="Q974" s="608"/>
      <c r="W974" s="54"/>
      <c r="Y974" s="609"/>
      <c r="Z974" s="51"/>
    </row>
    <row r="975" spans="2:26">
      <c r="B975" s="617">
        <v>45744</v>
      </c>
      <c r="C975" s="471" t="s">
        <v>219</v>
      </c>
      <c r="D975" s="472">
        <v>320</v>
      </c>
      <c r="E975" s="473">
        <v>46000</v>
      </c>
      <c r="F975" s="473">
        <f t="shared" ref="F975" si="278">IF(E975="-","-",D975*E975)</f>
        <v>14720000</v>
      </c>
      <c r="G975" s="474"/>
      <c r="H975" s="745"/>
      <c r="I975" s="742"/>
      <c r="J975" s="748"/>
      <c r="M975" s="604"/>
      <c r="N975" s="605"/>
      <c r="O975" s="606"/>
      <c r="P975" s="607"/>
      <c r="Q975" s="608"/>
      <c r="W975" s="54"/>
      <c r="Y975" s="610"/>
      <c r="Z975" s="51"/>
    </row>
    <row r="976" spans="2:26">
      <c r="B976" s="619">
        <v>45752</v>
      </c>
      <c r="C976" s="39" t="s">
        <v>219</v>
      </c>
      <c r="D976" s="323">
        <v>335</v>
      </c>
      <c r="E976" s="41">
        <v>46000</v>
      </c>
      <c r="F976" s="41">
        <f t="shared" ref="F976" si="279">IF(E976="-","-",D976*E976)</f>
        <v>15410000</v>
      </c>
      <c r="G976" s="43"/>
      <c r="H976" s="710"/>
      <c r="I976" s="728">
        <f>SUM(F976:F982)</f>
        <v>81710000</v>
      </c>
      <c r="J976" s="732"/>
      <c r="M976" s="604"/>
      <c r="N976" s="605"/>
      <c r="O976" s="606"/>
      <c r="P976" s="607"/>
      <c r="Q976" s="608"/>
      <c r="W976" s="54"/>
      <c r="Y976" s="610"/>
      <c r="Z976" s="51"/>
    </row>
    <row r="977" spans="2:26">
      <c r="B977" s="619">
        <v>45755</v>
      </c>
      <c r="C977" s="39" t="s">
        <v>219</v>
      </c>
      <c r="D977" s="323">
        <v>720</v>
      </c>
      <c r="E977" s="41">
        <v>46000</v>
      </c>
      <c r="F977" s="41">
        <f t="shared" ref="F977" si="280">IF(E977="-","-",D977*E977)</f>
        <v>33120000</v>
      </c>
      <c r="G977" s="43"/>
      <c r="H977" s="731"/>
      <c r="I977" s="729"/>
      <c r="J977" s="733"/>
      <c r="M977" s="604"/>
      <c r="N977" s="605"/>
      <c r="O977" s="606"/>
      <c r="P977" s="607"/>
      <c r="Q977" s="608"/>
      <c r="W977" s="54"/>
      <c r="Y977" s="610"/>
      <c r="Z977" s="51"/>
    </row>
    <row r="978" spans="2:26">
      <c r="B978" s="619">
        <v>45756</v>
      </c>
      <c r="C978" s="39" t="s">
        <v>219</v>
      </c>
      <c r="D978" s="323">
        <v>335</v>
      </c>
      <c r="E978" s="41">
        <v>46000</v>
      </c>
      <c r="F978" s="41">
        <f t="shared" ref="F978" si="281">IF(E978="-","-",D978*E978)</f>
        <v>15410000</v>
      </c>
      <c r="G978" s="43"/>
      <c r="H978" s="731"/>
      <c r="I978" s="729"/>
      <c r="J978" s="733"/>
      <c r="M978" s="604"/>
      <c r="N978" s="605"/>
      <c r="O978" s="606"/>
      <c r="P978" s="607"/>
      <c r="Q978" s="608"/>
      <c r="W978" s="54"/>
      <c r="Y978" s="610"/>
      <c r="Z978" s="51"/>
    </row>
    <row r="979" spans="2:26">
      <c r="B979" s="702">
        <v>45758</v>
      </c>
      <c r="C979" s="39" t="s">
        <v>220</v>
      </c>
      <c r="D979" s="323">
        <v>50</v>
      </c>
      <c r="E979" s="41">
        <f t="shared" ref="E979" si="282">IFERROR(INDEX(daftar,MATCH(C979,nmdaftar,0),2),"-")</f>
        <v>27000</v>
      </c>
      <c r="F979" s="41">
        <f t="shared" ref="F979" si="283">IF(E979="-","-",D979*E979)</f>
        <v>1350000</v>
      </c>
      <c r="G979" s="43"/>
      <c r="H979" s="731"/>
      <c r="I979" s="729"/>
      <c r="J979" s="733"/>
      <c r="M979" s="604"/>
      <c r="N979" s="605"/>
      <c r="O979" s="606"/>
      <c r="P979" s="607"/>
      <c r="Q979" s="608"/>
      <c r="W979" s="54"/>
      <c r="Y979" s="610"/>
      <c r="Z979" s="51"/>
    </row>
    <row r="980" spans="2:26">
      <c r="B980" s="703"/>
      <c r="C980" s="39" t="s">
        <v>222</v>
      </c>
      <c r="D980" s="323">
        <v>200</v>
      </c>
      <c r="E980" s="41">
        <v>14600</v>
      </c>
      <c r="F980" s="41">
        <f t="shared" ref="F980:F981" si="284">IF(E980="-","-",D980*E980)</f>
        <v>2920000</v>
      </c>
      <c r="G980" s="43"/>
      <c r="H980" s="731"/>
      <c r="I980" s="729"/>
      <c r="J980" s="733"/>
      <c r="M980" s="604"/>
      <c r="N980" s="605"/>
      <c r="O980" s="606"/>
      <c r="P980" s="607"/>
      <c r="Q980" s="608"/>
      <c r="W980" s="54"/>
      <c r="Y980" s="610"/>
      <c r="Z980" s="51"/>
    </row>
    <row r="981" spans="2:26">
      <c r="B981" s="703"/>
      <c r="C981" s="39" t="s">
        <v>224</v>
      </c>
      <c r="D981" s="323">
        <v>200</v>
      </c>
      <c r="E981" s="41">
        <v>14600</v>
      </c>
      <c r="F981" s="41">
        <f t="shared" si="284"/>
        <v>2920000</v>
      </c>
      <c r="G981" s="43"/>
      <c r="H981" s="731"/>
      <c r="I981" s="729"/>
      <c r="J981" s="733"/>
      <c r="M981" s="604"/>
      <c r="N981" s="605"/>
      <c r="O981" s="606"/>
      <c r="P981" s="607"/>
      <c r="Q981" s="608"/>
      <c r="W981" s="54"/>
      <c r="Y981" s="610"/>
      <c r="Z981" s="51"/>
    </row>
    <row r="982" spans="2:26">
      <c r="B982" s="704"/>
      <c r="C982" s="39" t="s">
        <v>219</v>
      </c>
      <c r="D982" s="323">
        <v>230</v>
      </c>
      <c r="E982" s="41">
        <v>46000</v>
      </c>
      <c r="F982" s="41">
        <f t="shared" ref="F982" si="285">IF(E982="-","-",D982*E982)</f>
        <v>10580000</v>
      </c>
      <c r="G982" s="43"/>
      <c r="H982" s="711"/>
      <c r="I982" s="730"/>
      <c r="J982" s="734"/>
      <c r="M982" s="604"/>
      <c r="N982" s="605"/>
      <c r="O982" s="606"/>
      <c r="P982" s="607"/>
      <c r="Q982" s="608"/>
      <c r="W982" s="54"/>
      <c r="Y982" s="610"/>
      <c r="Z982" s="51"/>
    </row>
    <row r="983" spans="2:26">
      <c r="B983" s="542">
        <v>45759</v>
      </c>
      <c r="C983" s="543" t="s">
        <v>219</v>
      </c>
      <c r="D983" s="544">
        <v>720</v>
      </c>
      <c r="E983" s="545">
        <v>46000</v>
      </c>
      <c r="F983" s="545">
        <f t="shared" ref="F983" si="286">IF(E983="-","-",D983*E983)</f>
        <v>33120000</v>
      </c>
      <c r="G983" s="546"/>
      <c r="H983" s="784"/>
      <c r="I983" s="782">
        <f>SUM(F983:F986)</f>
        <v>97060000</v>
      </c>
      <c r="J983" s="784"/>
      <c r="M983" s="604"/>
      <c r="N983" s="605"/>
      <c r="O983" s="606"/>
      <c r="P983" s="607"/>
      <c r="Q983" s="608"/>
      <c r="W983" s="54"/>
      <c r="Y983" s="610"/>
      <c r="Z983" s="51"/>
    </row>
    <row r="984" spans="2:26">
      <c r="B984" s="542">
        <v>45762</v>
      </c>
      <c r="C984" s="543" t="s">
        <v>219</v>
      </c>
      <c r="D984" s="544">
        <v>720</v>
      </c>
      <c r="E984" s="545">
        <v>46000</v>
      </c>
      <c r="F984" s="545">
        <f t="shared" ref="F984" si="287">IF(E984="-","-",D984*E984)</f>
        <v>33120000</v>
      </c>
      <c r="G984" s="546"/>
      <c r="H984" s="1004"/>
      <c r="I984" s="1003"/>
      <c r="J984" s="1004"/>
      <c r="M984" s="604"/>
      <c r="N984" s="605"/>
      <c r="O984" s="606"/>
      <c r="P984" s="607"/>
      <c r="Q984" s="608"/>
      <c r="W984" s="54"/>
      <c r="Y984" s="610"/>
      <c r="Z984" s="51"/>
    </row>
    <row r="985" spans="2:26">
      <c r="B985" s="542">
        <v>45763</v>
      </c>
      <c r="C985" s="543" t="s">
        <v>219</v>
      </c>
      <c r="D985" s="544">
        <v>335</v>
      </c>
      <c r="E985" s="545">
        <v>46000</v>
      </c>
      <c r="F985" s="545">
        <f t="shared" ref="F985" si="288">IF(E985="-","-",D985*E985)</f>
        <v>15410000</v>
      </c>
      <c r="G985" s="546"/>
      <c r="H985" s="1004"/>
      <c r="I985" s="1003"/>
      <c r="J985" s="1004"/>
      <c r="M985" s="604"/>
      <c r="N985" s="605"/>
      <c r="O985" s="606"/>
      <c r="P985" s="607"/>
      <c r="Q985" s="608"/>
      <c r="W985" s="54"/>
      <c r="Y985" s="610"/>
      <c r="Z985" s="51"/>
    </row>
    <row r="986" spans="2:26">
      <c r="B986" s="542">
        <v>45764</v>
      </c>
      <c r="C986" s="543" t="s">
        <v>219</v>
      </c>
      <c r="D986" s="544">
        <v>335</v>
      </c>
      <c r="E986" s="545">
        <v>46000</v>
      </c>
      <c r="F986" s="545">
        <f t="shared" ref="F986" si="289">IF(E986="-","-",D986*E986)</f>
        <v>15410000</v>
      </c>
      <c r="G986" s="546"/>
      <c r="H986" s="785"/>
      <c r="I986" s="783"/>
      <c r="J986" s="785"/>
      <c r="M986" s="604"/>
      <c r="N986" s="605"/>
      <c r="O986" s="606"/>
      <c r="P986" s="607"/>
      <c r="Q986" s="608"/>
      <c r="W986" s="54"/>
      <c r="Y986" s="610"/>
      <c r="Z986" s="51"/>
    </row>
    <row r="987" spans="2:26">
      <c r="B987" s="625">
        <v>45765</v>
      </c>
      <c r="C987" s="291" t="s">
        <v>219</v>
      </c>
      <c r="D987" s="435">
        <v>335</v>
      </c>
      <c r="E987" s="293">
        <v>46000</v>
      </c>
      <c r="F987" s="293">
        <f t="shared" ref="F987" si="290">IF(E987="-","-",D987*E987)</f>
        <v>15410000</v>
      </c>
      <c r="G987" s="295"/>
      <c r="H987" s="658"/>
      <c r="I987" s="656">
        <f>F988+F987</f>
        <v>48530000</v>
      </c>
      <c r="J987" s="658"/>
      <c r="M987" s="604"/>
      <c r="N987" s="605"/>
      <c r="O987" s="606"/>
      <c r="P987" s="607"/>
      <c r="Q987" s="608"/>
      <c r="W987" s="54"/>
      <c r="Y987" s="614"/>
      <c r="Z987" s="51"/>
    </row>
    <row r="988" spans="2:26">
      <c r="B988" s="625">
        <v>45768</v>
      </c>
      <c r="C988" s="291" t="s">
        <v>219</v>
      </c>
      <c r="D988" s="435">
        <v>720</v>
      </c>
      <c r="E988" s="293">
        <v>46000</v>
      </c>
      <c r="F988" s="293">
        <f t="shared" ref="F988" si="291">IF(E988="-","-",D988*E988)</f>
        <v>33120000</v>
      </c>
      <c r="G988" s="295"/>
      <c r="H988" s="659"/>
      <c r="I988" s="657"/>
      <c r="J988" s="659"/>
      <c r="L988" s="181">
        <v>80900000</v>
      </c>
      <c r="M988" s="604"/>
      <c r="N988" s="605"/>
      <c r="O988" s="606"/>
      <c r="P988" s="607"/>
      <c r="Q988" s="608"/>
      <c r="W988" s="54"/>
      <c r="Y988" s="614"/>
      <c r="Z988" s="51"/>
    </row>
    <row r="989" spans="2:26">
      <c r="B989" s="628">
        <v>45771</v>
      </c>
      <c r="C989" s="232" t="s">
        <v>219</v>
      </c>
      <c r="D989" s="327">
        <v>335</v>
      </c>
      <c r="E989" s="234">
        <v>46000</v>
      </c>
      <c r="F989" s="234">
        <f t="shared" ref="F989" si="292">IF(E989="-","-",D989*E989)</f>
        <v>15410000</v>
      </c>
      <c r="G989" s="276"/>
      <c r="H989" s="653"/>
      <c r="I989" s="650">
        <f>SUM(F989:F993)</f>
        <v>80900000</v>
      </c>
      <c r="J989" s="653"/>
      <c r="L989" s="181">
        <v>30925000</v>
      </c>
      <c r="M989" s="604"/>
      <c r="N989" s="605"/>
      <c r="O989" s="606"/>
      <c r="P989" s="607"/>
      <c r="Q989" s="608"/>
      <c r="W989" s="54"/>
      <c r="Y989" s="614"/>
      <c r="Z989" s="51"/>
    </row>
    <row r="990" spans="2:26">
      <c r="B990" s="628">
        <v>45775</v>
      </c>
      <c r="C990" s="232" t="s">
        <v>219</v>
      </c>
      <c r="D990" s="327">
        <v>720</v>
      </c>
      <c r="E990" s="234">
        <v>46000</v>
      </c>
      <c r="F990" s="234">
        <f t="shared" ref="F990" si="293">IF(E990="-","-",D990*E990)</f>
        <v>33120000</v>
      </c>
      <c r="G990" s="276"/>
      <c r="H990" s="654"/>
      <c r="I990" s="651"/>
      <c r="J990" s="654"/>
      <c r="L990" s="181">
        <v>48530000</v>
      </c>
      <c r="M990" s="604"/>
      <c r="N990" s="605"/>
      <c r="O990" s="606"/>
      <c r="P990" s="607"/>
      <c r="Q990" s="608"/>
      <c r="W990" s="54"/>
      <c r="Y990" s="614"/>
      <c r="Z990" s="51"/>
    </row>
    <row r="991" spans="2:26">
      <c r="B991" s="700">
        <v>45778</v>
      </c>
      <c r="C991" s="232" t="s">
        <v>220</v>
      </c>
      <c r="D991" s="327">
        <v>100</v>
      </c>
      <c r="E991" s="632">
        <f t="shared" ref="E991" si="294">IFERROR(INDEX(daftar,MATCH(C991,nmdaftar,0),2),"-")</f>
        <v>27000</v>
      </c>
      <c r="F991" s="632">
        <f t="shared" ref="F991" si="295">IF(E991="-","-",D991*E991)</f>
        <v>2700000</v>
      </c>
      <c r="G991" s="276"/>
      <c r="H991" s="654"/>
      <c r="I991" s="651"/>
      <c r="J991" s="654"/>
      <c r="M991" s="604"/>
      <c r="N991" s="605"/>
      <c r="O991" s="606"/>
      <c r="P991" s="607"/>
      <c r="Q991" s="608"/>
      <c r="W991" s="54"/>
      <c r="Y991" s="614"/>
      <c r="Z991" s="51"/>
    </row>
    <row r="992" spans="2:26">
      <c r="B992" s="701"/>
      <c r="C992" s="232" t="s">
        <v>219</v>
      </c>
      <c r="D992" s="327">
        <v>295</v>
      </c>
      <c r="E992" s="234">
        <v>46000</v>
      </c>
      <c r="F992" s="234">
        <f t="shared" ref="F992" si="296">IF(E992="-","-",D992*E992)</f>
        <v>13570000</v>
      </c>
      <c r="G992" s="276"/>
      <c r="H992" s="654"/>
      <c r="I992" s="651"/>
      <c r="J992" s="654"/>
      <c r="M992" s="604"/>
      <c r="N992" s="605"/>
      <c r="O992" s="606"/>
      <c r="P992" s="607"/>
      <c r="Q992" s="608"/>
      <c r="W992" s="54"/>
      <c r="Y992" s="614"/>
      <c r="Z992" s="51"/>
    </row>
    <row r="993" spans="2:26">
      <c r="B993" s="628">
        <v>45778</v>
      </c>
      <c r="C993" s="232" t="s">
        <v>219</v>
      </c>
      <c r="D993" s="327">
        <v>350</v>
      </c>
      <c r="E993" s="234">
        <v>46000</v>
      </c>
      <c r="F993" s="234">
        <f t="shared" ref="F993" si="297">IF(E993="-","-",D993*E993)</f>
        <v>16100000</v>
      </c>
      <c r="G993" s="276"/>
      <c r="H993" s="655"/>
      <c r="I993" s="652"/>
      <c r="J993" s="655"/>
      <c r="M993" s="604"/>
      <c r="N993" s="605"/>
      <c r="O993" s="606"/>
      <c r="P993" s="607"/>
      <c r="Q993" s="608"/>
      <c r="W993" s="54"/>
      <c r="Y993" s="614"/>
      <c r="Z993" s="51"/>
    </row>
    <row r="994" spans="2:26">
      <c r="B994" s="698">
        <v>45782</v>
      </c>
      <c r="C994" s="191" t="s">
        <v>226</v>
      </c>
      <c r="D994" s="434">
        <v>30</v>
      </c>
      <c r="E994" s="633">
        <f t="shared" ref="E994" si="298">IFERROR(INDEX(daftar,MATCH(C994,nmdaftar,0),2),"-")</f>
        <v>95500</v>
      </c>
      <c r="F994" s="633">
        <f t="shared" ref="F994" si="299">IF(E994="-","-",D994*E994)</f>
        <v>2865000</v>
      </c>
      <c r="G994" s="272"/>
      <c r="H994" s="663"/>
      <c r="I994" s="660">
        <f>SUM(F994:F996)</f>
        <v>30925000</v>
      </c>
      <c r="J994" s="666"/>
      <c r="M994" s="604"/>
      <c r="N994" s="605"/>
      <c r="O994" s="606"/>
      <c r="P994" s="607"/>
      <c r="Q994" s="608"/>
      <c r="W994" s="54"/>
      <c r="Y994" s="614"/>
      <c r="Z994" s="51"/>
    </row>
    <row r="995" spans="2:26">
      <c r="B995" s="699"/>
      <c r="C995" s="191" t="s">
        <v>219</v>
      </c>
      <c r="D995" s="434">
        <v>275</v>
      </c>
      <c r="E995" s="193">
        <v>46000</v>
      </c>
      <c r="F995" s="193">
        <f t="shared" ref="F995" si="300">IF(E995="-","-",D995*E995)</f>
        <v>12650000</v>
      </c>
      <c r="G995" s="272"/>
      <c r="H995" s="664"/>
      <c r="I995" s="661"/>
      <c r="J995" s="667"/>
      <c r="M995" s="604"/>
      <c r="N995" s="605"/>
      <c r="O995" s="606"/>
      <c r="P995" s="607"/>
      <c r="Q995" s="608"/>
      <c r="W995" s="54"/>
      <c r="Y995" s="614"/>
      <c r="Z995" s="51"/>
    </row>
    <row r="996" spans="2:26">
      <c r="B996" s="627">
        <v>45783</v>
      </c>
      <c r="C996" s="191" t="s">
        <v>219</v>
      </c>
      <c r="D996" s="434">
        <v>335</v>
      </c>
      <c r="E996" s="193">
        <v>46000</v>
      </c>
      <c r="F996" s="193">
        <f t="shared" ref="F996" si="301">IF(E996="-","-",D996*E996)</f>
        <v>15410000</v>
      </c>
      <c r="G996" s="272"/>
      <c r="H996" s="665"/>
      <c r="I996" s="662"/>
      <c r="J996" s="668"/>
      <c r="M996" s="604"/>
      <c r="N996" s="605"/>
      <c r="O996" s="606"/>
      <c r="P996" s="607"/>
      <c r="Q996" s="608"/>
      <c r="W996" s="54"/>
      <c r="Y996" s="614"/>
      <c r="Z996" s="51"/>
    </row>
    <row r="997" spans="2:26">
      <c r="B997" s="696">
        <v>45785</v>
      </c>
      <c r="C997" s="291" t="s">
        <v>224</v>
      </c>
      <c r="D997" s="435">
        <v>200</v>
      </c>
      <c r="E997" s="293">
        <v>14600</v>
      </c>
      <c r="F997" s="293">
        <f t="shared" ref="F997" si="302">IF(E997="-","-",D997*E997)</f>
        <v>2920000</v>
      </c>
      <c r="G997" s="295"/>
      <c r="H997" s="658"/>
      <c r="I997" s="656">
        <f>SUM(F997:F1000)</f>
        <v>65250000</v>
      </c>
      <c r="J997" s="671"/>
      <c r="M997" s="604"/>
      <c r="N997" s="605"/>
      <c r="O997" s="606"/>
      <c r="P997" s="607"/>
      <c r="Q997" s="608"/>
      <c r="W997" s="54"/>
      <c r="Y997" s="614"/>
      <c r="Z997" s="51"/>
    </row>
    <row r="998" spans="2:26">
      <c r="B998" s="697"/>
      <c r="C998" s="291" t="s">
        <v>219</v>
      </c>
      <c r="D998" s="435">
        <v>285</v>
      </c>
      <c r="E998" s="293">
        <v>46000</v>
      </c>
      <c r="F998" s="293">
        <f t="shared" ref="F998" si="303">IF(E998="-","-",D998*E998)</f>
        <v>13110000</v>
      </c>
      <c r="G998" s="295"/>
      <c r="H998" s="670"/>
      <c r="I998" s="669"/>
      <c r="J998" s="672"/>
      <c r="M998" s="604"/>
      <c r="N998" s="605"/>
      <c r="O998" s="606"/>
      <c r="P998" s="607"/>
      <c r="Q998" s="608"/>
      <c r="W998" s="54"/>
      <c r="Y998" s="614"/>
      <c r="Z998" s="51"/>
    </row>
    <row r="999" spans="2:26">
      <c r="B999" s="625">
        <v>45789</v>
      </c>
      <c r="C999" s="291" t="s">
        <v>219</v>
      </c>
      <c r="D999" s="435">
        <v>720</v>
      </c>
      <c r="E999" s="293">
        <v>46000</v>
      </c>
      <c r="F999" s="293">
        <f t="shared" ref="F999" si="304">IF(E999="-","-",D999*E999)</f>
        <v>33120000</v>
      </c>
      <c r="G999" s="295"/>
      <c r="H999" s="670"/>
      <c r="I999" s="669"/>
      <c r="J999" s="672"/>
      <c r="M999" s="604"/>
      <c r="N999" s="605"/>
      <c r="O999" s="606"/>
      <c r="P999" s="607"/>
      <c r="Q999" s="608"/>
      <c r="W999" s="54"/>
      <c r="Y999" s="618"/>
      <c r="Z999" s="51"/>
    </row>
    <row r="1000" spans="2:26">
      <c r="B1000" s="625">
        <v>45792</v>
      </c>
      <c r="C1000" s="291" t="s">
        <v>219</v>
      </c>
      <c r="D1000" s="435">
        <v>350</v>
      </c>
      <c r="E1000" s="293">
        <v>46000</v>
      </c>
      <c r="F1000" s="293">
        <f t="shared" ref="F1000" si="305">IF(E1000="-","-",D1000*E1000)</f>
        <v>16100000</v>
      </c>
      <c r="G1000" s="295"/>
      <c r="H1000" s="659"/>
      <c r="I1000" s="657"/>
      <c r="J1000" s="673"/>
      <c r="M1000" s="604"/>
      <c r="N1000" s="605"/>
      <c r="O1000" s="606"/>
      <c r="P1000" s="607"/>
      <c r="Q1000" s="608"/>
      <c r="W1000" s="54"/>
      <c r="Y1000" s="618"/>
      <c r="Z1000" s="51"/>
    </row>
    <row r="1001" spans="2:26">
      <c r="B1001" s="628">
        <v>45796</v>
      </c>
      <c r="C1001" s="232" t="s">
        <v>219</v>
      </c>
      <c r="D1001" s="327">
        <v>335</v>
      </c>
      <c r="E1001" s="234">
        <v>46000</v>
      </c>
      <c r="F1001" s="234">
        <f t="shared" ref="F1001" si="306">IF(E1001="-","-",D1001*E1001)</f>
        <v>15410000</v>
      </c>
      <c r="G1001" s="276"/>
      <c r="H1001" s="653"/>
      <c r="I1001" s="650">
        <f>F1001+F1002</f>
        <v>30820000</v>
      </c>
      <c r="J1001" s="674"/>
      <c r="M1001" s="604"/>
      <c r="N1001" s="605"/>
      <c r="O1001" s="606"/>
      <c r="P1001" s="607"/>
      <c r="Q1001" s="608"/>
      <c r="W1001" s="54"/>
      <c r="Y1001" s="618"/>
      <c r="Z1001" s="51"/>
    </row>
    <row r="1002" spans="2:26">
      <c r="B1002" s="628">
        <v>45798</v>
      </c>
      <c r="C1002" s="232" t="s">
        <v>219</v>
      </c>
      <c r="D1002" s="327">
        <v>335</v>
      </c>
      <c r="E1002" s="234">
        <v>46000</v>
      </c>
      <c r="F1002" s="234">
        <f t="shared" ref="F1002" si="307">IF(E1002="-","-",D1002*E1002)</f>
        <v>15410000</v>
      </c>
      <c r="G1002" s="276"/>
      <c r="H1002" s="655"/>
      <c r="I1002" s="652"/>
      <c r="J1002" s="675"/>
      <c r="M1002" s="604"/>
      <c r="N1002" s="605"/>
      <c r="O1002" s="606"/>
      <c r="P1002" s="607"/>
      <c r="Q1002" s="608"/>
      <c r="W1002" s="54"/>
      <c r="Y1002" s="618"/>
      <c r="Z1002" s="51"/>
    </row>
    <row r="1003" spans="2:26">
      <c r="B1003" s="626">
        <v>45803</v>
      </c>
      <c r="C1003" s="552" t="s">
        <v>219</v>
      </c>
      <c r="D1003" s="553">
        <v>720</v>
      </c>
      <c r="E1003" s="554">
        <v>46000</v>
      </c>
      <c r="F1003" s="554">
        <f t="shared" ref="F1003:F1005" si="308">IF(E1003="-","-",D1003*E1003)</f>
        <v>33120000</v>
      </c>
      <c r="G1003" s="555"/>
      <c r="H1003" s="682"/>
      <c r="I1003" s="679">
        <f>SUM(F1003:F1006)</f>
        <v>50000000</v>
      </c>
      <c r="J1003" s="685"/>
      <c r="M1003" s="604"/>
      <c r="N1003" s="605"/>
      <c r="O1003" s="606"/>
      <c r="P1003" s="607"/>
      <c r="Q1003" s="608"/>
      <c r="W1003" s="54"/>
      <c r="Y1003" s="618"/>
      <c r="Z1003" s="51"/>
    </row>
    <row r="1004" spans="2:26">
      <c r="B1004" s="676">
        <v>45805</v>
      </c>
      <c r="C1004" s="552" t="s">
        <v>222</v>
      </c>
      <c r="D1004" s="553">
        <v>200</v>
      </c>
      <c r="E1004" s="554">
        <v>14600</v>
      </c>
      <c r="F1004" s="554">
        <f t="shared" si="308"/>
        <v>2920000</v>
      </c>
      <c r="G1004" s="555"/>
      <c r="H1004" s="683"/>
      <c r="I1004" s="680"/>
      <c r="J1004" s="686"/>
      <c r="M1004" s="604"/>
      <c r="N1004" s="605"/>
      <c r="O1004" s="606"/>
      <c r="P1004" s="607"/>
      <c r="Q1004" s="608"/>
      <c r="W1004" s="54"/>
      <c r="Y1004" s="623"/>
      <c r="Z1004" s="51"/>
    </row>
    <row r="1005" spans="2:26">
      <c r="B1005" s="677"/>
      <c r="C1005" s="552" t="s">
        <v>224</v>
      </c>
      <c r="D1005" s="553">
        <v>200</v>
      </c>
      <c r="E1005" s="554">
        <v>14600</v>
      </c>
      <c r="F1005" s="554">
        <f t="shared" si="308"/>
        <v>2920000</v>
      </c>
      <c r="G1005" s="555"/>
      <c r="H1005" s="683"/>
      <c r="I1005" s="680"/>
      <c r="J1005" s="686"/>
      <c r="M1005" s="604"/>
      <c r="N1005" s="605"/>
      <c r="O1005" s="606"/>
      <c r="P1005" s="607"/>
      <c r="Q1005" s="608"/>
      <c r="W1005" s="54"/>
      <c r="Y1005" s="623"/>
      <c r="Z1005" s="51"/>
    </row>
    <row r="1006" spans="2:26">
      <c r="B1006" s="678"/>
      <c r="C1006" s="552" t="s">
        <v>219</v>
      </c>
      <c r="D1006" s="553">
        <v>240</v>
      </c>
      <c r="E1006" s="554">
        <v>46000</v>
      </c>
      <c r="F1006" s="554">
        <f t="shared" ref="F1006" si="309">IF(E1006="-","-",D1006*E1006)</f>
        <v>11040000</v>
      </c>
      <c r="G1006" s="555"/>
      <c r="H1006" s="684"/>
      <c r="I1006" s="681"/>
      <c r="J1006" s="687"/>
      <c r="M1006" s="604"/>
      <c r="N1006" s="605"/>
      <c r="O1006" s="606"/>
      <c r="P1006" s="607"/>
      <c r="Q1006" s="608"/>
      <c r="W1006" s="54"/>
      <c r="Y1006" s="620"/>
      <c r="Z1006" s="51"/>
    </row>
    <row r="1007" spans="2:26">
      <c r="B1007" s="694">
        <v>45807</v>
      </c>
      <c r="C1007" s="381" t="s">
        <v>220</v>
      </c>
      <c r="D1007" s="382">
        <v>150</v>
      </c>
      <c r="E1007" s="393">
        <f t="shared" ref="E1007" si="310">IFERROR(INDEX(daftar,MATCH(C1007,nmdaftar,0),2),"-")</f>
        <v>27000</v>
      </c>
      <c r="F1007" s="393">
        <f t="shared" ref="F1007" si="311">IF(E1007="-","-",D1007*E1007)</f>
        <v>4050000</v>
      </c>
      <c r="G1007" s="384"/>
      <c r="H1007" s="691"/>
      <c r="I1007" s="688">
        <f>SUM(F1007:F1009)</f>
        <v>31650000</v>
      </c>
      <c r="J1007" s="691"/>
      <c r="M1007" s="604"/>
      <c r="N1007" s="605"/>
      <c r="O1007" s="606"/>
      <c r="P1007" s="607"/>
      <c r="Q1007" s="608"/>
      <c r="W1007" s="54"/>
      <c r="Y1007" s="620"/>
      <c r="Z1007" s="51"/>
    </row>
    <row r="1008" spans="2:26">
      <c r="B1008" s="695"/>
      <c r="C1008" s="381" t="s">
        <v>219</v>
      </c>
      <c r="D1008" s="382">
        <v>265</v>
      </c>
      <c r="E1008" s="383">
        <v>46000</v>
      </c>
      <c r="F1008" s="383">
        <f t="shared" ref="F1008" si="312">IF(E1008="-","-",D1008*E1008)</f>
        <v>12190000</v>
      </c>
      <c r="G1008" s="384"/>
      <c r="H1008" s="692"/>
      <c r="I1008" s="689"/>
      <c r="J1008" s="692"/>
      <c r="M1008" s="604"/>
      <c r="N1008" s="605"/>
      <c r="O1008" s="606"/>
      <c r="P1008" s="607"/>
      <c r="Q1008" s="608"/>
      <c r="W1008" s="54"/>
      <c r="Y1008" s="620"/>
      <c r="Z1008" s="51"/>
    </row>
    <row r="1009" spans="2:26">
      <c r="B1009" s="629">
        <v>45810</v>
      </c>
      <c r="C1009" s="381" t="s">
        <v>219</v>
      </c>
      <c r="D1009" s="382">
        <v>335</v>
      </c>
      <c r="E1009" s="383">
        <v>46000</v>
      </c>
      <c r="F1009" s="383">
        <f t="shared" ref="F1009" si="313">IF(E1009="-","-",D1009*E1009)</f>
        <v>15410000</v>
      </c>
      <c r="G1009" s="384"/>
      <c r="H1009" s="693"/>
      <c r="I1009" s="690"/>
      <c r="J1009" s="693"/>
      <c r="M1009" s="604"/>
      <c r="N1009" s="605"/>
      <c r="O1009" s="606"/>
      <c r="P1009" s="607"/>
      <c r="Q1009" s="608"/>
      <c r="W1009" s="54"/>
      <c r="Y1009" s="620"/>
      <c r="Z1009" s="51"/>
    </row>
    <row r="1010" spans="2:26">
      <c r="B1010" s="239">
        <v>45811</v>
      </c>
      <c r="C1010" s="240" t="s">
        <v>219</v>
      </c>
      <c r="D1010" s="584">
        <v>340</v>
      </c>
      <c r="E1010" s="242">
        <v>46000</v>
      </c>
      <c r="F1010" s="242">
        <f t="shared" ref="F1010" si="314">IF(E1010="-","-",D1010*E1010)</f>
        <v>15640000</v>
      </c>
      <c r="G1010" s="277"/>
      <c r="H1010" s="1013"/>
      <c r="I1010" s="879">
        <f>SUM(F1010:F1012)</f>
        <v>46460000</v>
      </c>
      <c r="J1010" s="1014"/>
      <c r="M1010" s="604"/>
      <c r="N1010" s="605"/>
      <c r="O1010" s="606"/>
      <c r="P1010" s="607"/>
      <c r="Q1010" s="608"/>
      <c r="W1010" s="54"/>
      <c r="Y1010" s="620"/>
      <c r="Z1010" s="51"/>
    </row>
    <row r="1011" spans="2:26">
      <c r="B1011" s="239">
        <v>45815</v>
      </c>
      <c r="C1011" s="240" t="s">
        <v>219</v>
      </c>
      <c r="D1011" s="584">
        <v>335</v>
      </c>
      <c r="E1011" s="242">
        <v>46000</v>
      </c>
      <c r="F1011" s="242">
        <f t="shared" ref="F1011" si="315">IF(E1011="-","-",D1011*E1011)</f>
        <v>15410000</v>
      </c>
      <c r="G1011" s="277"/>
      <c r="H1011" s="757"/>
      <c r="I1011" s="754"/>
      <c r="J1011" s="1015"/>
      <c r="M1011" s="604"/>
      <c r="N1011" s="605"/>
      <c r="O1011" s="606"/>
      <c r="P1011" s="607"/>
      <c r="Q1011" s="608"/>
      <c r="W1011" s="54"/>
      <c r="Y1011" s="621"/>
      <c r="Z1011" s="51"/>
    </row>
    <row r="1012" spans="2:26">
      <c r="B1012" s="239">
        <v>45817</v>
      </c>
      <c r="C1012" s="240" t="s">
        <v>219</v>
      </c>
      <c r="D1012" s="584">
        <v>335</v>
      </c>
      <c r="E1012" s="242">
        <v>46000</v>
      </c>
      <c r="F1012" s="242">
        <f t="shared" ref="F1012" si="316">IF(E1012="-","-",D1012*E1012)</f>
        <v>15410000</v>
      </c>
      <c r="G1012" s="277"/>
      <c r="H1012" s="1016"/>
      <c r="I1012" s="880"/>
      <c r="J1012" s="1017"/>
      <c r="M1012" s="604"/>
      <c r="N1012" s="605"/>
      <c r="O1012" s="606"/>
      <c r="P1012" s="607"/>
      <c r="Q1012" s="608"/>
      <c r="W1012" s="54"/>
      <c r="Y1012" s="621"/>
      <c r="Z1012" s="51"/>
    </row>
    <row r="1013" spans="2:26">
      <c r="B1013" s="622">
        <v>45820</v>
      </c>
      <c r="C1013" s="57" t="s">
        <v>219</v>
      </c>
      <c r="D1013" s="329">
        <v>335</v>
      </c>
      <c r="E1013" s="58">
        <v>46000</v>
      </c>
      <c r="F1013" s="205">
        <f t="shared" ref="F1013" si="317">IF(E1013="-","-",D1013*E1013)</f>
        <v>15410000</v>
      </c>
      <c r="G1013" s="270"/>
      <c r="H1013" s="461"/>
      <c r="I1013" s="181"/>
      <c r="J1013" s="576"/>
      <c r="M1013" s="604"/>
      <c r="N1013" s="605"/>
      <c r="O1013" s="606"/>
      <c r="P1013" s="607"/>
      <c r="Q1013" s="608"/>
      <c r="W1013" s="54"/>
      <c r="Y1013" s="621"/>
      <c r="Z1013" s="51"/>
    </row>
    <row r="1014" spans="2:26">
      <c r="B1014" s="622">
        <v>45824</v>
      </c>
      <c r="C1014" s="57" t="s">
        <v>219</v>
      </c>
      <c r="D1014" s="329">
        <v>720</v>
      </c>
      <c r="E1014" s="58">
        <v>46000</v>
      </c>
      <c r="F1014" s="205">
        <f t="shared" ref="F1014" si="318">IF(E1014="-","-",D1014*E1014)</f>
        <v>33120000</v>
      </c>
      <c r="G1014" s="270"/>
      <c r="H1014" s="461"/>
      <c r="I1014" s="181"/>
      <c r="J1014" s="576"/>
      <c r="M1014" s="604"/>
      <c r="N1014" s="605"/>
      <c r="O1014" s="606"/>
      <c r="P1014" s="607"/>
      <c r="Q1014" s="608"/>
      <c r="W1014" s="54"/>
      <c r="Y1014" s="621"/>
      <c r="Z1014" s="51"/>
    </row>
    <row r="1015" spans="2:26">
      <c r="B1015" s="622">
        <v>45826</v>
      </c>
      <c r="C1015" s="57" t="s">
        <v>219</v>
      </c>
      <c r="D1015" s="329">
        <v>340</v>
      </c>
      <c r="E1015" s="58">
        <v>46000</v>
      </c>
      <c r="F1015" s="205">
        <f t="shared" ref="F1015" si="319">IF(E1015="-","-",D1015*E1015)</f>
        <v>15640000</v>
      </c>
      <c r="G1015" s="270"/>
      <c r="H1015" s="461"/>
      <c r="I1015" s="181"/>
      <c r="J1015" s="576"/>
      <c r="M1015" s="604"/>
      <c r="N1015" s="605"/>
      <c r="O1015" s="606"/>
      <c r="P1015" s="607"/>
      <c r="Q1015" s="608"/>
      <c r="W1015" s="54"/>
      <c r="Y1015" s="621"/>
      <c r="Z1015" s="51"/>
    </row>
    <row r="1016" spans="2:26">
      <c r="B1016" s="647">
        <v>45829</v>
      </c>
      <c r="C1016" s="57" t="s">
        <v>220</v>
      </c>
      <c r="D1016" s="329">
        <v>187</v>
      </c>
      <c r="E1016" s="321">
        <f t="shared" ref="E1016" si="320">IFERROR(INDEX(daftar,MATCH(C1016,nmdaftar,0),2),"-")</f>
        <v>27000</v>
      </c>
      <c r="F1016" s="522">
        <f t="shared" ref="F1016" si="321">IF(E1016="-","-",D1016*E1016)</f>
        <v>5049000</v>
      </c>
      <c r="G1016" s="270"/>
      <c r="H1016" s="461"/>
      <c r="I1016" s="181"/>
      <c r="J1016" s="576"/>
      <c r="M1016" s="604"/>
      <c r="N1016" s="605"/>
      <c r="O1016" s="606"/>
      <c r="P1016" s="607"/>
      <c r="Q1016" s="608"/>
      <c r="W1016" s="54"/>
      <c r="Y1016" s="621"/>
      <c r="Z1016" s="51"/>
    </row>
    <row r="1017" spans="2:26">
      <c r="B1017" s="649"/>
      <c r="C1017" s="57" t="s">
        <v>219</v>
      </c>
      <c r="D1017" s="329">
        <v>270</v>
      </c>
      <c r="E1017" s="58">
        <v>46000</v>
      </c>
      <c r="F1017" s="205">
        <f t="shared" ref="F1017" si="322">IF(E1017="-","-",D1017*E1017)</f>
        <v>12420000</v>
      </c>
      <c r="G1017" s="270"/>
      <c r="H1017" s="461"/>
      <c r="I1017" s="181"/>
      <c r="J1017" s="576"/>
      <c r="M1017" s="604"/>
      <c r="N1017" s="605"/>
      <c r="O1017" s="606"/>
      <c r="P1017" s="607"/>
      <c r="Q1017" s="608"/>
      <c r="W1017" s="54"/>
      <c r="Y1017" s="621"/>
      <c r="Z1017" s="51"/>
    </row>
    <row r="1018" spans="2:26">
      <c r="B1018" s="622">
        <v>45832</v>
      </c>
      <c r="C1018" s="57" t="s">
        <v>219</v>
      </c>
      <c r="D1018" s="329">
        <v>340</v>
      </c>
      <c r="E1018" s="58">
        <v>46000</v>
      </c>
      <c r="F1018" s="205">
        <f t="shared" ref="F1018" si="323">IF(E1018="-","-",D1018*E1018)</f>
        <v>15640000</v>
      </c>
      <c r="G1018" s="270"/>
      <c r="H1018" s="461"/>
      <c r="I1018" s="181"/>
      <c r="J1018" s="576"/>
      <c r="M1018" s="604"/>
      <c r="N1018" s="605"/>
      <c r="O1018" s="606"/>
      <c r="P1018" s="607"/>
      <c r="Q1018" s="608"/>
      <c r="W1018" s="54"/>
      <c r="Y1018" s="621"/>
      <c r="Z1018" s="51"/>
    </row>
    <row r="1019" spans="2:26">
      <c r="B1019" s="624">
        <v>45834</v>
      </c>
      <c r="C1019" s="57" t="s">
        <v>219</v>
      </c>
      <c r="D1019" s="329">
        <v>335</v>
      </c>
      <c r="E1019" s="58">
        <v>46000</v>
      </c>
      <c r="F1019" s="205">
        <f t="shared" ref="F1019" si="324">IF(E1019="-","-",D1019*E1019)</f>
        <v>15410000</v>
      </c>
      <c r="G1019" s="270"/>
      <c r="H1019" s="461"/>
      <c r="I1019" s="181"/>
      <c r="J1019" s="576"/>
      <c r="M1019" s="604"/>
      <c r="N1019" s="605"/>
      <c r="O1019" s="606"/>
      <c r="P1019" s="607"/>
      <c r="Q1019" s="608"/>
      <c r="W1019" s="54"/>
      <c r="Y1019" s="623"/>
      <c r="Z1019" s="51"/>
    </row>
    <row r="1020" spans="2:26">
      <c r="B1020" s="624">
        <v>45838</v>
      </c>
      <c r="C1020" s="57" t="s">
        <v>219</v>
      </c>
      <c r="D1020" s="329">
        <v>720</v>
      </c>
      <c r="E1020" s="58">
        <v>46000</v>
      </c>
      <c r="F1020" s="205">
        <f t="shared" ref="F1020" si="325">IF(E1020="-","-",D1020*E1020)</f>
        <v>33120000</v>
      </c>
      <c r="G1020" s="270"/>
      <c r="H1020" s="461"/>
      <c r="I1020" s="181"/>
      <c r="J1020" s="576"/>
      <c r="L1020" s="51"/>
      <c r="M1020" s="604"/>
      <c r="N1020" s="605"/>
      <c r="O1020" s="606"/>
      <c r="P1020" s="607"/>
      <c r="Q1020" s="608"/>
      <c r="W1020" s="54"/>
      <c r="Y1020" s="623"/>
      <c r="Z1020" s="51"/>
    </row>
    <row r="1021" spans="2:26">
      <c r="B1021" s="647">
        <v>45839</v>
      </c>
      <c r="C1021" s="57" t="s">
        <v>226</v>
      </c>
      <c r="D1021" s="329">
        <v>70</v>
      </c>
      <c r="E1021" s="321">
        <f t="shared" ref="E1021" si="326">IFERROR(INDEX(daftar,MATCH(C1021,nmdaftar,0),2),"-")</f>
        <v>95500</v>
      </c>
      <c r="F1021" s="522">
        <f t="shared" ref="F1021" si="327">IF(E1021="-","-",D1021*E1021)</f>
        <v>6685000</v>
      </c>
      <c r="G1021" s="270"/>
      <c r="H1021" s="461"/>
      <c r="I1021" s="181"/>
      <c r="J1021" s="576"/>
      <c r="L1021" s="51"/>
      <c r="M1021" s="604"/>
      <c r="N1021" s="605"/>
      <c r="O1021" s="606"/>
      <c r="P1021" s="607"/>
      <c r="Q1021" s="608"/>
      <c r="W1021" s="54"/>
      <c r="Y1021" s="623"/>
      <c r="Z1021" s="51"/>
    </row>
    <row r="1022" spans="2:26">
      <c r="B1022" s="649"/>
      <c r="C1022" s="57" t="s">
        <v>219</v>
      </c>
      <c r="D1022" s="329">
        <v>175</v>
      </c>
      <c r="E1022" s="58">
        <v>46000</v>
      </c>
      <c r="F1022" s="205">
        <f t="shared" ref="F1022" si="328">IF(E1022="-","-",D1022*E1022)</f>
        <v>8050000</v>
      </c>
      <c r="G1022" s="270"/>
      <c r="H1022" s="461"/>
      <c r="I1022" s="181"/>
      <c r="J1022" s="576"/>
      <c r="L1022" s="51"/>
      <c r="M1022" s="604"/>
      <c r="N1022" s="605"/>
      <c r="O1022" s="606"/>
      <c r="P1022" s="607"/>
      <c r="Q1022" s="608"/>
      <c r="W1022" s="54"/>
      <c r="Y1022" s="623"/>
      <c r="Z1022" s="51"/>
    </row>
    <row r="1023" spans="2:26">
      <c r="B1023" s="647">
        <v>45842</v>
      </c>
      <c r="C1023" s="57" t="s">
        <v>222</v>
      </c>
      <c r="D1023" s="329">
        <v>100</v>
      </c>
      <c r="E1023" s="58">
        <v>14600</v>
      </c>
      <c r="F1023" s="205">
        <f t="shared" ref="F1023:F1024" si="329">IF(E1023="-","-",D1023*E1023)</f>
        <v>1460000</v>
      </c>
      <c r="G1023" s="270"/>
      <c r="H1023" s="461"/>
      <c r="I1023" s="181"/>
      <c r="J1023" s="576"/>
      <c r="L1023" s="51"/>
      <c r="M1023" s="604"/>
      <c r="N1023" s="605"/>
      <c r="O1023" s="606"/>
      <c r="P1023" s="607"/>
      <c r="Q1023" s="608"/>
      <c r="W1023" s="54"/>
      <c r="Y1023" s="623"/>
      <c r="Z1023" s="51"/>
    </row>
    <row r="1024" spans="2:26">
      <c r="B1024" s="648"/>
      <c r="C1024" s="57" t="s">
        <v>224</v>
      </c>
      <c r="D1024" s="329">
        <v>200</v>
      </c>
      <c r="E1024" s="58">
        <v>14600</v>
      </c>
      <c r="F1024" s="205">
        <f t="shared" si="329"/>
        <v>2920000</v>
      </c>
      <c r="G1024" s="270"/>
      <c r="H1024" s="461"/>
      <c r="I1024" s="181"/>
      <c r="J1024" s="576"/>
      <c r="L1024" s="51"/>
      <c r="M1024" s="604"/>
      <c r="N1024" s="605"/>
      <c r="O1024" s="606"/>
      <c r="P1024" s="607"/>
      <c r="Q1024" s="608"/>
      <c r="W1024" s="54"/>
      <c r="Y1024" s="623"/>
      <c r="Z1024" s="51"/>
    </row>
    <row r="1025" spans="2:26">
      <c r="B1025" s="649"/>
      <c r="C1025" s="57" t="s">
        <v>219</v>
      </c>
      <c r="D1025" s="329">
        <v>265</v>
      </c>
      <c r="E1025" s="58">
        <v>46000</v>
      </c>
      <c r="F1025" s="205">
        <f t="shared" ref="F1025" si="330">IF(E1025="-","-",D1025*E1025)</f>
        <v>12190000</v>
      </c>
      <c r="G1025" s="270"/>
      <c r="H1025" s="461"/>
      <c r="I1025" s="181"/>
      <c r="J1025" s="576"/>
      <c r="L1025" s="51"/>
      <c r="M1025" s="604"/>
      <c r="N1025" s="605"/>
      <c r="O1025" s="606"/>
      <c r="P1025" s="607"/>
      <c r="Q1025" s="608"/>
      <c r="W1025" s="54"/>
      <c r="Y1025" s="623"/>
      <c r="Z1025" s="51"/>
    </row>
    <row r="1026" spans="2:26">
      <c r="B1026" s="624">
        <v>45842</v>
      </c>
      <c r="C1026" s="57" t="s">
        <v>219</v>
      </c>
      <c r="D1026" s="329">
        <v>720</v>
      </c>
      <c r="E1026" s="58">
        <v>46000</v>
      </c>
      <c r="F1026" s="205">
        <f t="shared" ref="F1026" si="331">IF(E1026="-","-",D1026*E1026)</f>
        <v>33120000</v>
      </c>
      <c r="G1026" s="270"/>
      <c r="H1026" s="461"/>
      <c r="I1026" s="181"/>
      <c r="J1026" s="576"/>
      <c r="L1026" s="51"/>
      <c r="M1026" s="604"/>
      <c r="N1026" s="605"/>
      <c r="O1026" s="606"/>
      <c r="P1026" s="607"/>
      <c r="Q1026" s="608"/>
      <c r="W1026" s="54"/>
      <c r="Y1026" s="623"/>
      <c r="Z1026" s="51"/>
    </row>
    <row r="1027" spans="2:26">
      <c r="B1027" s="624">
        <v>45845</v>
      </c>
      <c r="C1027" s="57" t="s">
        <v>219</v>
      </c>
      <c r="D1027" s="329">
        <v>335</v>
      </c>
      <c r="E1027" s="58">
        <v>46000</v>
      </c>
      <c r="F1027" s="205">
        <f t="shared" ref="F1027" si="332">IF(E1027="-","-",D1027*E1027)</f>
        <v>15410000</v>
      </c>
      <c r="G1027" s="270"/>
      <c r="H1027" s="461"/>
      <c r="I1027" s="181"/>
      <c r="J1027" s="576"/>
      <c r="L1027" s="51"/>
      <c r="M1027" s="604"/>
      <c r="N1027" s="605"/>
      <c r="O1027" s="606"/>
      <c r="P1027" s="607"/>
      <c r="Q1027" s="608"/>
      <c r="W1027" s="54"/>
      <c r="Y1027" s="623"/>
      <c r="Z1027" s="51"/>
    </row>
    <row r="1028" spans="2:26">
      <c r="B1028" s="624">
        <v>45846</v>
      </c>
      <c r="C1028" s="57" t="s">
        <v>219</v>
      </c>
      <c r="D1028" s="329">
        <v>335</v>
      </c>
      <c r="E1028" s="58">
        <v>46000</v>
      </c>
      <c r="F1028" s="205">
        <f t="shared" ref="F1028" si="333">IF(E1028="-","-",D1028*E1028)</f>
        <v>15410000</v>
      </c>
      <c r="G1028" s="270"/>
      <c r="H1028" s="461"/>
      <c r="I1028" s="181"/>
      <c r="J1028" s="576"/>
      <c r="L1028" s="51"/>
      <c r="M1028" s="604"/>
      <c r="N1028" s="605"/>
      <c r="O1028" s="606"/>
      <c r="P1028" s="607"/>
      <c r="Q1028" s="608"/>
      <c r="W1028" s="54"/>
      <c r="Y1028" s="623"/>
      <c r="Z1028" s="51"/>
    </row>
    <row r="1029" spans="2:26">
      <c r="B1029" s="624">
        <v>45846</v>
      </c>
      <c r="C1029" s="57" t="s">
        <v>219</v>
      </c>
      <c r="D1029" s="329">
        <v>335</v>
      </c>
      <c r="E1029" s="58">
        <v>46000</v>
      </c>
      <c r="F1029" s="205">
        <f t="shared" ref="F1029" si="334">IF(E1029="-","-",D1029*E1029)</f>
        <v>15410000</v>
      </c>
      <c r="G1029" s="270"/>
      <c r="H1029" s="461"/>
      <c r="I1029" s="181"/>
      <c r="J1029" s="576"/>
      <c r="L1029" s="51"/>
      <c r="M1029" s="604"/>
      <c r="N1029" s="605"/>
      <c r="O1029" s="606"/>
      <c r="P1029" s="607"/>
      <c r="Q1029" s="608"/>
      <c r="W1029" s="54"/>
      <c r="Y1029" s="623"/>
      <c r="Z1029" s="51"/>
    </row>
    <row r="1030" spans="2:26">
      <c r="B1030" s="624">
        <v>45847</v>
      </c>
      <c r="C1030" s="57" t="s">
        <v>219</v>
      </c>
      <c r="D1030" s="329">
        <v>335</v>
      </c>
      <c r="E1030" s="58">
        <v>46000</v>
      </c>
      <c r="F1030" s="205">
        <f t="shared" ref="F1030" si="335">IF(E1030="-","-",D1030*E1030)</f>
        <v>15410000</v>
      </c>
      <c r="G1030" s="270"/>
      <c r="H1030" s="461"/>
      <c r="I1030" s="181"/>
      <c r="J1030" s="576"/>
      <c r="L1030" s="51"/>
      <c r="M1030" s="604"/>
      <c r="N1030" s="605"/>
      <c r="O1030" s="606"/>
      <c r="P1030" s="607"/>
      <c r="Q1030" s="608"/>
      <c r="W1030" s="54"/>
      <c r="Y1030" s="623"/>
      <c r="Z1030" s="51"/>
    </row>
    <row r="1031" spans="2:26">
      <c r="B1031" s="624">
        <v>45850</v>
      </c>
      <c r="C1031" s="57" t="s">
        <v>219</v>
      </c>
      <c r="D1031" s="329">
        <v>720</v>
      </c>
      <c r="E1031" s="58">
        <v>46000</v>
      </c>
      <c r="F1031" s="205">
        <f t="shared" ref="F1031" si="336">IF(E1031="-","-",D1031*E1031)</f>
        <v>33120000</v>
      </c>
      <c r="G1031" s="270"/>
      <c r="H1031" s="461"/>
      <c r="I1031" s="181"/>
      <c r="J1031" s="576"/>
      <c r="L1031" s="51"/>
      <c r="M1031" s="604"/>
      <c r="N1031" s="605"/>
      <c r="O1031" s="606"/>
      <c r="P1031" s="607"/>
      <c r="Q1031" s="608"/>
      <c r="W1031" s="54"/>
      <c r="Y1031" s="623"/>
      <c r="Z1031" s="51"/>
    </row>
    <row r="1032" spans="2:26">
      <c r="B1032" s="624">
        <v>45853</v>
      </c>
      <c r="C1032" s="57" t="s">
        <v>219</v>
      </c>
      <c r="D1032" s="329">
        <v>335</v>
      </c>
      <c r="E1032" s="58">
        <v>46000</v>
      </c>
      <c r="F1032" s="205">
        <f t="shared" ref="F1032" si="337">IF(E1032="-","-",D1032*E1032)</f>
        <v>15410000</v>
      </c>
      <c r="G1032" s="270"/>
      <c r="H1032" s="461"/>
      <c r="I1032" s="181"/>
      <c r="J1032" s="576"/>
      <c r="L1032" s="51"/>
      <c r="M1032" s="604"/>
      <c r="N1032" s="605"/>
      <c r="O1032" s="606"/>
      <c r="P1032" s="607"/>
      <c r="Q1032" s="608"/>
      <c r="W1032" s="54"/>
      <c r="Y1032" s="623"/>
      <c r="Z1032" s="51"/>
    </row>
    <row r="1033" spans="2:26">
      <c r="B1033" s="647">
        <v>45854</v>
      </c>
      <c r="C1033" s="57" t="s">
        <v>222</v>
      </c>
      <c r="D1033" s="329">
        <v>100</v>
      </c>
      <c r="E1033" s="58">
        <v>14600</v>
      </c>
      <c r="F1033" s="205">
        <f t="shared" ref="F1033:F1035" si="338">IF(E1033="-","-",D1033*E1033)</f>
        <v>1460000</v>
      </c>
      <c r="G1033" s="270"/>
      <c r="H1033" s="461"/>
      <c r="I1033" s="181"/>
      <c r="J1033" s="576"/>
      <c r="L1033" s="51"/>
      <c r="M1033" s="604"/>
      <c r="N1033" s="605"/>
      <c r="O1033" s="606"/>
      <c r="P1033" s="607"/>
      <c r="Q1033" s="608"/>
      <c r="W1033" s="54"/>
      <c r="Y1033" s="630"/>
      <c r="Z1033" s="51"/>
    </row>
    <row r="1034" spans="2:26">
      <c r="B1034" s="648"/>
      <c r="C1034" s="57" t="s">
        <v>224</v>
      </c>
      <c r="D1034" s="329">
        <v>100</v>
      </c>
      <c r="E1034" s="58">
        <v>14600</v>
      </c>
      <c r="F1034" s="205">
        <f t="shared" si="338"/>
        <v>1460000</v>
      </c>
      <c r="G1034" s="270"/>
      <c r="H1034" s="461"/>
      <c r="I1034" s="181"/>
      <c r="J1034" s="576"/>
      <c r="L1034" s="51"/>
      <c r="M1034" s="604"/>
      <c r="N1034" s="605"/>
      <c r="O1034" s="606"/>
      <c r="P1034" s="607"/>
      <c r="Q1034" s="608"/>
      <c r="W1034" s="54"/>
      <c r="Y1034" s="630"/>
      <c r="Z1034" s="51"/>
    </row>
    <row r="1035" spans="2:26">
      <c r="B1035" s="649"/>
      <c r="C1035" s="57" t="s">
        <v>219</v>
      </c>
      <c r="D1035" s="329">
        <v>295</v>
      </c>
      <c r="E1035" s="58">
        <v>46000</v>
      </c>
      <c r="F1035" s="205">
        <f t="shared" si="338"/>
        <v>13570000</v>
      </c>
      <c r="G1035" s="270"/>
      <c r="H1035" s="461"/>
      <c r="I1035" s="181"/>
      <c r="J1035" s="576"/>
      <c r="L1035" s="51"/>
      <c r="M1035" s="604"/>
      <c r="N1035" s="605"/>
      <c r="O1035" s="606"/>
      <c r="P1035" s="607"/>
      <c r="Q1035" s="608"/>
      <c r="W1035" s="54"/>
      <c r="Y1035" s="630"/>
      <c r="Z1035" s="51"/>
    </row>
    <row r="1036" spans="2:26">
      <c r="B1036" s="631">
        <v>45857</v>
      </c>
      <c r="C1036" s="57" t="s">
        <v>219</v>
      </c>
      <c r="D1036" s="329">
        <v>335</v>
      </c>
      <c r="E1036" s="58">
        <v>46000</v>
      </c>
      <c r="F1036" s="205">
        <f t="shared" ref="F1036" si="339">IF(E1036="-","-",D1036*E1036)</f>
        <v>15410000</v>
      </c>
      <c r="G1036" s="270"/>
      <c r="H1036" s="461"/>
      <c r="I1036" s="181"/>
      <c r="J1036" s="576"/>
      <c r="L1036" s="51"/>
      <c r="M1036" s="604"/>
      <c r="N1036" s="605"/>
      <c r="O1036" s="606"/>
      <c r="P1036" s="607"/>
      <c r="Q1036" s="608"/>
      <c r="W1036" s="54"/>
      <c r="Y1036" s="630"/>
      <c r="Z1036" s="51"/>
    </row>
    <row r="1037" spans="2:26">
      <c r="B1037" s="631">
        <v>45860</v>
      </c>
      <c r="C1037" s="57" t="s">
        <v>219</v>
      </c>
      <c r="D1037" s="329">
        <v>335</v>
      </c>
      <c r="E1037" s="58">
        <v>46000</v>
      </c>
      <c r="F1037" s="205">
        <f t="shared" ref="F1037" si="340">IF(E1037="-","-",D1037*E1037)</f>
        <v>15410000</v>
      </c>
      <c r="G1037" s="270"/>
      <c r="H1037" s="461"/>
      <c r="I1037" s="181"/>
      <c r="J1037" s="576"/>
      <c r="L1037" s="51"/>
      <c r="M1037" s="604"/>
      <c r="N1037" s="605"/>
      <c r="O1037" s="606"/>
      <c r="P1037" s="607"/>
      <c r="Q1037" s="608"/>
      <c r="W1037" s="54"/>
      <c r="Y1037" s="630"/>
      <c r="Z1037" s="51"/>
    </row>
    <row r="1038" spans="2:26">
      <c r="B1038" s="647">
        <v>45861</v>
      </c>
      <c r="C1038" s="57" t="s">
        <v>220</v>
      </c>
      <c r="D1038" s="329">
        <v>150</v>
      </c>
      <c r="E1038" s="321">
        <f t="shared" ref="E1038" si="341">IFERROR(INDEX(daftar,MATCH(C1038,nmdaftar,0),2),"-")</f>
        <v>27000</v>
      </c>
      <c r="F1038" s="522">
        <f t="shared" ref="F1038" si="342">IF(E1038="-","-",D1038*E1038)</f>
        <v>4050000</v>
      </c>
      <c r="G1038" s="270"/>
      <c r="H1038" s="461"/>
      <c r="I1038" s="181"/>
      <c r="J1038" s="576"/>
      <c r="L1038" s="51"/>
      <c r="M1038" s="604"/>
      <c r="N1038" s="605"/>
      <c r="O1038" s="606"/>
      <c r="P1038" s="607"/>
      <c r="Q1038" s="608"/>
      <c r="W1038" s="54"/>
      <c r="Y1038" s="630"/>
      <c r="Z1038" s="51"/>
    </row>
    <row r="1039" spans="2:26">
      <c r="B1039" s="648"/>
      <c r="C1039" s="57" t="s">
        <v>222</v>
      </c>
      <c r="D1039" s="329">
        <v>100</v>
      </c>
      <c r="E1039" s="58">
        <v>14600</v>
      </c>
      <c r="F1039" s="205">
        <f t="shared" ref="F1039:F1040" si="343">IF(E1039="-","-",D1039*E1039)</f>
        <v>1460000</v>
      </c>
      <c r="G1039" s="270"/>
      <c r="H1039" s="461"/>
      <c r="I1039" s="181"/>
      <c r="J1039" s="576"/>
      <c r="L1039" s="51"/>
      <c r="M1039" s="604"/>
      <c r="N1039" s="605"/>
      <c r="O1039" s="606"/>
      <c r="P1039" s="607"/>
      <c r="Q1039" s="608"/>
      <c r="W1039" s="54"/>
      <c r="Y1039" s="630"/>
      <c r="Z1039" s="51"/>
    </row>
    <row r="1040" spans="2:26">
      <c r="B1040" s="648"/>
      <c r="C1040" s="57" t="s">
        <v>224</v>
      </c>
      <c r="D1040" s="329">
        <v>100</v>
      </c>
      <c r="E1040" s="58">
        <v>14600</v>
      </c>
      <c r="F1040" s="205">
        <f t="shared" si="343"/>
        <v>1460000</v>
      </c>
      <c r="G1040" s="270"/>
      <c r="H1040" s="461"/>
      <c r="I1040" s="181"/>
      <c r="J1040" s="576"/>
      <c r="L1040" s="51"/>
      <c r="M1040" s="604"/>
      <c r="N1040" s="605"/>
      <c r="O1040" s="606"/>
      <c r="P1040" s="607"/>
      <c r="Q1040" s="608"/>
      <c r="W1040" s="54"/>
      <c r="Y1040" s="630"/>
      <c r="Z1040" s="51"/>
    </row>
    <row r="1041" spans="2:26">
      <c r="B1041" s="649"/>
      <c r="C1041" s="57" t="s">
        <v>219</v>
      </c>
      <c r="D1041" s="329">
        <v>215</v>
      </c>
      <c r="E1041" s="58">
        <v>46000</v>
      </c>
      <c r="F1041" s="205">
        <f t="shared" ref="F1041" si="344">IF(E1041="-","-",D1041*E1041)</f>
        <v>9890000</v>
      </c>
      <c r="G1041" s="270"/>
      <c r="H1041" s="461"/>
      <c r="I1041" s="181"/>
      <c r="J1041" s="576"/>
      <c r="L1041" s="51"/>
      <c r="M1041" s="604"/>
      <c r="N1041" s="605"/>
      <c r="O1041" s="606"/>
      <c r="P1041" s="607"/>
      <c r="Q1041" s="608"/>
      <c r="W1041" s="54"/>
      <c r="Y1041" s="630"/>
      <c r="Z1041" s="51"/>
    </row>
    <row r="1042" spans="2:26">
      <c r="B1042" s="615"/>
      <c r="C1042" s="57"/>
      <c r="D1042" s="329"/>
      <c r="E1042" s="321"/>
      <c r="F1042" s="522"/>
      <c r="G1042" s="270"/>
      <c r="H1042" s="461"/>
      <c r="I1042" s="181"/>
      <c r="J1042" s="576"/>
      <c r="L1042" s="51"/>
      <c r="M1042" s="604"/>
      <c r="N1042" s="605"/>
      <c r="O1042" s="606"/>
      <c r="P1042" s="607"/>
      <c r="Q1042" s="608"/>
      <c r="W1042" s="54"/>
      <c r="Y1042" s="614"/>
      <c r="Z1042" s="51"/>
    </row>
    <row r="1043" spans="2:26">
      <c r="B1043" s="528"/>
      <c r="C1043" s="57"/>
      <c r="D1043" s="324"/>
      <c r="E1043" s="321"/>
      <c r="F1043" s="522"/>
      <c r="G1043" s="270"/>
      <c r="H1043" s="461"/>
      <c r="I1043" s="181"/>
      <c r="J1043" s="377"/>
      <c r="L1043" s="51"/>
      <c r="W1043" s="54"/>
      <c r="Y1043" s="527"/>
      <c r="Z1043" s="51"/>
    </row>
    <row r="1044" spans="2:26">
      <c r="B1044" s="309"/>
      <c r="C1044" s="57"/>
      <c r="D1044" s="324"/>
      <c r="E1044" s="321"/>
      <c r="F1044" s="322"/>
      <c r="G1044" s="270"/>
      <c r="H1044" s="461"/>
      <c r="I1044" s="181"/>
      <c r="J1044" s="66"/>
      <c r="L1044" s="51"/>
      <c r="W1044" s="54"/>
      <c r="Y1044" s="308"/>
      <c r="Z1044" s="51"/>
    </row>
    <row r="1045" spans="2:26">
      <c r="B1045" s="60"/>
      <c r="C1045" s="61" t="s">
        <v>23</v>
      </c>
      <c r="D1045" s="7"/>
      <c r="E1045" s="62"/>
      <c r="F1045" s="63">
        <f>SUM(F2:F1044)</f>
        <v>17109447500</v>
      </c>
      <c r="G1045" s="270"/>
      <c r="H1045" s="64"/>
      <c r="I1045" s="63">
        <f>SUM(I2:I1044)</f>
        <v>16724943000</v>
      </c>
      <c r="J1045" s="66"/>
      <c r="L1045" s="51"/>
      <c r="W1045" s="54"/>
      <c r="Y1045" s="25"/>
      <c r="Z1045" s="51"/>
    </row>
    <row r="1046" spans="2:26">
      <c r="B1046" s="60"/>
      <c r="C1046" s="61" t="s">
        <v>214</v>
      </c>
      <c r="D1046" s="65"/>
      <c r="E1046" s="65"/>
      <c r="F1046" s="925">
        <f>I1045-F1045+500</f>
        <v>-384504000</v>
      </c>
      <c r="G1046" s="926"/>
      <c r="H1046" s="926"/>
      <c r="I1046" s="927"/>
      <c r="J1046" s="67"/>
      <c r="L1046" s="51"/>
    </row>
    <row r="1048" spans="2:26">
      <c r="F1048" s="51"/>
    </row>
    <row r="1049" spans="2:26">
      <c r="F1049" s="450"/>
    </row>
    <row r="1050" spans="2:26">
      <c r="J1050" s="51"/>
    </row>
    <row r="1051" spans="2:26">
      <c r="J1051" s="51"/>
      <c r="K1051" t="s">
        <v>338</v>
      </c>
    </row>
    <row r="1052" spans="2:26">
      <c r="J1052" s="51"/>
    </row>
    <row r="1053" spans="2:26">
      <c r="H1053" s="28" t="s">
        <v>341</v>
      </c>
      <c r="J1053" s="51"/>
    </row>
    <row r="1054" spans="2:26">
      <c r="J1054" s="51"/>
    </row>
    <row r="1055" spans="2:26">
      <c r="J1055" s="51"/>
    </row>
    <row r="1056" spans="2:26">
      <c r="B1056" s="174">
        <v>45215</v>
      </c>
      <c r="C1056" s="57" t="s">
        <v>219</v>
      </c>
      <c r="D1056" s="7">
        <v>720</v>
      </c>
      <c r="E1056" s="58">
        <f>IFERROR(INDEX(daftar,MATCH(C1056,nmdaftar,0),2),"-")</f>
        <v>46000</v>
      </c>
      <c r="J1056" s="51"/>
    </row>
    <row r="1057" spans="2:10">
      <c r="B1057" s="174">
        <v>45215</v>
      </c>
      <c r="C1057" s="57" t="s">
        <v>219</v>
      </c>
      <c r="D1057" s="7">
        <v>720</v>
      </c>
      <c r="E1057" s="58">
        <f>IFERROR(INDEX(daftar,MATCH(C1057,nmdaftar,0),2),"-")</f>
        <v>46000</v>
      </c>
      <c r="F1057" s="59">
        <f>IF(E1056="-","-",D1056*E1056)</f>
        <v>33120000</v>
      </c>
      <c r="J1057" s="51"/>
    </row>
    <row r="1058" spans="2:10">
      <c r="F1058" s="59">
        <f>IF(E1057="-","-",D1057*E1057)</f>
        <v>33120000</v>
      </c>
      <c r="J1058" s="51"/>
    </row>
    <row r="1059" spans="2:10">
      <c r="B1059"/>
      <c r="D1059"/>
      <c r="E1059"/>
      <c r="G1059"/>
      <c r="H1059"/>
      <c r="I1059"/>
      <c r="J1059" s="51"/>
    </row>
    <row r="1060" spans="2:10">
      <c r="B1060"/>
      <c r="D1060"/>
      <c r="E1060"/>
      <c r="G1060"/>
      <c r="H1060"/>
      <c r="I1060"/>
      <c r="J1060" s="51"/>
    </row>
    <row r="1061" spans="2:10">
      <c r="B1061"/>
      <c r="D1061"/>
      <c r="E1061"/>
      <c r="G1061"/>
      <c r="H1061"/>
      <c r="I1061"/>
      <c r="J1061" s="51"/>
    </row>
    <row r="1062" spans="2:10">
      <c r="B1062"/>
      <c r="D1062"/>
      <c r="E1062"/>
      <c r="G1062"/>
      <c r="H1062"/>
      <c r="I1062"/>
      <c r="J1062" s="51"/>
    </row>
    <row r="1063" spans="2:10">
      <c r="B1063"/>
      <c r="D1063"/>
      <c r="E1063"/>
      <c r="G1063"/>
      <c r="H1063"/>
      <c r="I1063"/>
      <c r="J1063" s="51"/>
    </row>
    <row r="1064" spans="2:10">
      <c r="B1064"/>
      <c r="D1064"/>
      <c r="E1064"/>
      <c r="G1064"/>
      <c r="H1064"/>
      <c r="I1064"/>
      <c r="J1064" s="51"/>
    </row>
    <row r="1065" spans="2:10">
      <c r="B1065"/>
      <c r="D1065"/>
      <c r="E1065"/>
      <c r="G1065"/>
      <c r="H1065"/>
      <c r="I1065"/>
      <c r="J1065" s="51"/>
    </row>
    <row r="1066" spans="2:10">
      <c r="B1066"/>
      <c r="D1066"/>
      <c r="E1066"/>
      <c r="G1066"/>
      <c r="H1066"/>
      <c r="I1066"/>
      <c r="J1066" s="51"/>
    </row>
    <row r="1067" spans="2:10">
      <c r="B1067"/>
      <c r="D1067"/>
      <c r="E1067"/>
      <c r="G1067"/>
      <c r="H1067"/>
      <c r="I1067"/>
      <c r="J1067" s="51"/>
    </row>
    <row r="1068" spans="2:10">
      <c r="B1068"/>
      <c r="D1068"/>
      <c r="E1068"/>
      <c r="G1068"/>
      <c r="H1068"/>
      <c r="I1068"/>
      <c r="J1068" s="51"/>
    </row>
    <row r="1069" spans="2:10">
      <c r="B1069"/>
      <c r="D1069"/>
      <c r="E1069"/>
      <c r="G1069"/>
      <c r="H1069"/>
      <c r="I1069"/>
      <c r="J1069" s="51"/>
    </row>
    <row r="1070" spans="2:10">
      <c r="B1070"/>
      <c r="D1070"/>
      <c r="E1070"/>
      <c r="G1070"/>
      <c r="H1070"/>
      <c r="I1070"/>
      <c r="J1070" s="51"/>
    </row>
    <row r="1071" spans="2:10">
      <c r="B1071"/>
      <c r="D1071"/>
      <c r="E1071"/>
      <c r="G1071"/>
      <c r="H1071"/>
      <c r="I1071"/>
      <c r="J1071" s="51"/>
    </row>
    <row r="1072" spans="2:10">
      <c r="B1072"/>
      <c r="D1072"/>
      <c r="E1072"/>
      <c r="G1072"/>
      <c r="H1072"/>
      <c r="I1072"/>
      <c r="J1072" s="51"/>
    </row>
    <row r="1073" spans="2:10">
      <c r="B1073"/>
      <c r="D1073"/>
      <c r="E1073"/>
      <c r="G1073"/>
      <c r="H1073"/>
      <c r="I1073"/>
      <c r="J1073" s="51"/>
    </row>
    <row r="1074" spans="2:10">
      <c r="B1074"/>
      <c r="D1074"/>
      <c r="E1074"/>
      <c r="G1074"/>
      <c r="H1074"/>
      <c r="I1074"/>
      <c r="J1074" s="51"/>
    </row>
    <row r="1075" spans="2:10">
      <c r="B1075"/>
      <c r="D1075"/>
      <c r="E1075"/>
      <c r="G1075"/>
      <c r="H1075"/>
      <c r="I1075"/>
      <c r="J1075" s="51"/>
    </row>
    <row r="1076" spans="2:10">
      <c r="B1076"/>
      <c r="D1076"/>
      <c r="E1076"/>
      <c r="G1076"/>
      <c r="H1076"/>
      <c r="I1076"/>
      <c r="J1076" s="51"/>
    </row>
    <row r="1077" spans="2:10">
      <c r="B1077"/>
      <c r="D1077"/>
      <c r="E1077"/>
      <c r="G1077"/>
      <c r="H1077"/>
      <c r="I1077"/>
      <c r="J1077" s="51"/>
    </row>
    <row r="1078" spans="2:10">
      <c r="B1078"/>
      <c r="D1078"/>
      <c r="E1078"/>
      <c r="G1078"/>
      <c r="H1078"/>
      <c r="I1078"/>
      <c r="J1078" s="51"/>
    </row>
    <row r="1079" spans="2:10">
      <c r="B1079"/>
      <c r="D1079"/>
      <c r="E1079"/>
      <c r="G1079"/>
      <c r="H1079"/>
      <c r="I1079"/>
      <c r="J1079" s="51"/>
    </row>
    <row r="1080" spans="2:10">
      <c r="B1080"/>
      <c r="D1080"/>
      <c r="E1080"/>
      <c r="G1080"/>
      <c r="H1080"/>
      <c r="I1080"/>
      <c r="J1080" s="51"/>
    </row>
    <row r="1081" spans="2:10">
      <c r="B1081"/>
      <c r="D1081"/>
      <c r="E1081"/>
      <c r="G1081"/>
      <c r="H1081"/>
      <c r="I1081"/>
      <c r="J1081" s="51"/>
    </row>
    <row r="1082" spans="2:10">
      <c r="B1082"/>
      <c r="D1082"/>
      <c r="E1082"/>
      <c r="G1082"/>
      <c r="H1082"/>
      <c r="I1082"/>
      <c r="J1082" s="51"/>
    </row>
    <row r="1083" spans="2:10">
      <c r="B1083"/>
      <c r="D1083"/>
      <c r="E1083"/>
      <c r="G1083"/>
      <c r="H1083"/>
      <c r="I1083"/>
      <c r="J1083" s="51"/>
    </row>
    <row r="1084" spans="2:10">
      <c r="B1084"/>
      <c r="D1084"/>
      <c r="E1084"/>
      <c r="G1084"/>
      <c r="H1084"/>
      <c r="I1084"/>
      <c r="J1084" s="51"/>
    </row>
    <row r="1085" spans="2:10">
      <c r="B1085"/>
      <c r="D1085"/>
      <c r="E1085"/>
      <c r="G1085"/>
      <c r="H1085"/>
      <c r="I1085"/>
      <c r="J1085" s="51"/>
    </row>
    <row r="1086" spans="2:10">
      <c r="B1086"/>
      <c r="D1086"/>
      <c r="E1086"/>
      <c r="G1086"/>
      <c r="H1086"/>
      <c r="I1086"/>
      <c r="J1086" s="51"/>
    </row>
    <row r="1087" spans="2:10">
      <c r="B1087"/>
      <c r="D1087"/>
      <c r="E1087"/>
      <c r="G1087"/>
      <c r="H1087"/>
      <c r="I1087"/>
      <c r="J1087" s="51"/>
    </row>
    <row r="1088" spans="2:10">
      <c r="B1088"/>
      <c r="D1088"/>
      <c r="E1088"/>
      <c r="G1088"/>
      <c r="H1088"/>
      <c r="I1088"/>
      <c r="J1088" s="51"/>
    </row>
    <row r="1089" spans="2:10">
      <c r="B1089"/>
      <c r="D1089"/>
      <c r="E1089"/>
      <c r="G1089"/>
      <c r="H1089"/>
      <c r="I1089"/>
      <c r="J1089" s="29"/>
    </row>
  </sheetData>
  <mergeCells count="697">
    <mergeCell ref="I1010:I1012"/>
    <mergeCell ref="H1010:H1012"/>
    <mergeCell ref="J1010:J1012"/>
    <mergeCell ref="B1038:B1041"/>
    <mergeCell ref="B1033:B1035"/>
    <mergeCell ref="I662:I670"/>
    <mergeCell ref="J674:J678"/>
    <mergeCell ref="B1016:B1017"/>
    <mergeCell ref="I983:I986"/>
    <mergeCell ref="H983:H986"/>
    <mergeCell ref="J983:J986"/>
    <mergeCell ref="I976:I982"/>
    <mergeCell ref="H976:H982"/>
    <mergeCell ref="J976:J982"/>
    <mergeCell ref="B721:B724"/>
    <mergeCell ref="H911:H914"/>
    <mergeCell ref="B795:B796"/>
    <mergeCell ref="B773:B775"/>
    <mergeCell ref="I745:I747"/>
    <mergeCell ref="H745:H747"/>
    <mergeCell ref="J745:J747"/>
    <mergeCell ref="I748:I751"/>
    <mergeCell ref="H748:H751"/>
    <mergeCell ref="I752:I755"/>
    <mergeCell ref="H752:H755"/>
    <mergeCell ref="B768:B769"/>
    <mergeCell ref="I756:I765"/>
    <mergeCell ref="H756:H765"/>
    <mergeCell ref="J756:J765"/>
    <mergeCell ref="B690:B691"/>
    <mergeCell ref="I539:I547"/>
    <mergeCell ref="B582:B584"/>
    <mergeCell ref="B620:B621"/>
    <mergeCell ref="B606:B608"/>
    <mergeCell ref="J766:J770"/>
    <mergeCell ref="I771:I776"/>
    <mergeCell ref="H771:H776"/>
    <mergeCell ref="J771:J776"/>
    <mergeCell ref="B759:B761"/>
    <mergeCell ref="B757:B758"/>
    <mergeCell ref="I641:I645"/>
    <mergeCell ref="I702:I703"/>
    <mergeCell ref="H702:H703"/>
    <mergeCell ref="J702:J703"/>
    <mergeCell ref="I699:I701"/>
    <mergeCell ref="H699:H701"/>
    <mergeCell ref="J699:J701"/>
    <mergeCell ref="H646:H647"/>
    <mergeCell ref="I655:I661"/>
    <mergeCell ref="J646:J647"/>
    <mergeCell ref="J679:J684"/>
    <mergeCell ref="H692:H693"/>
    <mergeCell ref="J689:J691"/>
    <mergeCell ref="B712:B714"/>
    <mergeCell ref="B708:B710"/>
    <mergeCell ref="B706:B707"/>
    <mergeCell ref="B748:B749"/>
    <mergeCell ref="I734:I737"/>
    <mergeCell ref="H734:H737"/>
    <mergeCell ref="B735:B737"/>
    <mergeCell ref="B730:B733"/>
    <mergeCell ref="I708:I715"/>
    <mergeCell ref="H708:H715"/>
    <mergeCell ref="I718:I724"/>
    <mergeCell ref="H718:H724"/>
    <mergeCell ref="B741:B743"/>
    <mergeCell ref="H534:H538"/>
    <mergeCell ref="I548:I552"/>
    <mergeCell ref="H548:H552"/>
    <mergeCell ref="I563:I565"/>
    <mergeCell ref="I553:I559"/>
    <mergeCell ref="I585:I586"/>
    <mergeCell ref="I600:I609"/>
    <mergeCell ref="I636:I638"/>
    <mergeCell ref="H636:H638"/>
    <mergeCell ref="H553:H559"/>
    <mergeCell ref="I534:I538"/>
    <mergeCell ref="I571:I576"/>
    <mergeCell ref="H539:H547"/>
    <mergeCell ref="H639:H640"/>
    <mergeCell ref="I577:I579"/>
    <mergeCell ref="I580:I584"/>
    <mergeCell ref="H577:H579"/>
    <mergeCell ref="H585:H586"/>
    <mergeCell ref="H563:H565"/>
    <mergeCell ref="I560:I562"/>
    <mergeCell ref="H580:H584"/>
    <mergeCell ref="I587:I590"/>
    <mergeCell ref="H622:H628"/>
    <mergeCell ref="H560:H562"/>
    <mergeCell ref="I595:I599"/>
    <mergeCell ref="I530:I533"/>
    <mergeCell ref="I507:I509"/>
    <mergeCell ref="J415:J416"/>
    <mergeCell ref="I417:I419"/>
    <mergeCell ref="J417:J419"/>
    <mergeCell ref="I420:I424"/>
    <mergeCell ref="H496:H499"/>
    <mergeCell ref="I425:I428"/>
    <mergeCell ref="I462:I465"/>
    <mergeCell ref="J420:J424"/>
    <mergeCell ref="I478:I485"/>
    <mergeCell ref="I486:I490"/>
    <mergeCell ref="J491:J494"/>
    <mergeCell ref="J462:J465"/>
    <mergeCell ref="J449:J455"/>
    <mergeCell ref="J438:J443"/>
    <mergeCell ref="J429:J432"/>
    <mergeCell ref="I433:I437"/>
    <mergeCell ref="J433:J437"/>
    <mergeCell ref="H530:H533"/>
    <mergeCell ref="H520:H524"/>
    <mergeCell ref="B459:B460"/>
    <mergeCell ref="H473:H477"/>
    <mergeCell ref="H466:H472"/>
    <mergeCell ref="J456:J461"/>
    <mergeCell ref="I473:I477"/>
    <mergeCell ref="H518:H519"/>
    <mergeCell ref="I518:I519"/>
    <mergeCell ref="I525:I529"/>
    <mergeCell ref="H525:H529"/>
    <mergeCell ref="I520:I524"/>
    <mergeCell ref="H507:H509"/>
    <mergeCell ref="I513:I517"/>
    <mergeCell ref="H513:H517"/>
    <mergeCell ref="B515:B517"/>
    <mergeCell ref="B525:B526"/>
    <mergeCell ref="I504:I506"/>
    <mergeCell ref="H504:H506"/>
    <mergeCell ref="H500:H503"/>
    <mergeCell ref="I491:I495"/>
    <mergeCell ref="H478:H485"/>
    <mergeCell ref="B483:B485"/>
    <mergeCell ref="I456:I461"/>
    <mergeCell ref="B420:B421"/>
    <mergeCell ref="B497:B498"/>
    <mergeCell ref="B470:B472"/>
    <mergeCell ref="B500:B502"/>
    <mergeCell ref="H491:H495"/>
    <mergeCell ref="I496:I499"/>
    <mergeCell ref="I500:I503"/>
    <mergeCell ref="I429:I432"/>
    <mergeCell ref="B438:B439"/>
    <mergeCell ref="B440:B443"/>
    <mergeCell ref="I444:I448"/>
    <mergeCell ref="B481:B482"/>
    <mergeCell ref="I466:I472"/>
    <mergeCell ref="B449:B451"/>
    <mergeCell ref="I449:I455"/>
    <mergeCell ref="I438:I443"/>
    <mergeCell ref="B444:B445"/>
    <mergeCell ref="J288:J292"/>
    <mergeCell ref="I330:I332"/>
    <mergeCell ref="B349:B350"/>
    <mergeCell ref="B359:B361"/>
    <mergeCell ref="B362:B365"/>
    <mergeCell ref="B343:B345"/>
    <mergeCell ref="B378:B380"/>
    <mergeCell ref="J293:J298"/>
    <mergeCell ref="J299:J302"/>
    <mergeCell ref="J303:J309"/>
    <mergeCell ref="J310:J311"/>
    <mergeCell ref="I293:I298"/>
    <mergeCell ref="I299:I302"/>
    <mergeCell ref="I303:I309"/>
    <mergeCell ref="I310:I311"/>
    <mergeCell ref="I312:I314"/>
    <mergeCell ref="I321:I322"/>
    <mergeCell ref="I323:I324"/>
    <mergeCell ref="H337:H339"/>
    <mergeCell ref="H335:H336"/>
    <mergeCell ref="H299:H302"/>
    <mergeCell ref="I335:I336"/>
    <mergeCell ref="J315:J320"/>
    <mergeCell ref="J321:J322"/>
    <mergeCell ref="J139:J145"/>
    <mergeCell ref="I315:I320"/>
    <mergeCell ref="J212:J218"/>
    <mergeCell ref="J219:J220"/>
    <mergeCell ref="J221:J225"/>
    <mergeCell ref="J226:J230"/>
    <mergeCell ref="J231:J232"/>
    <mergeCell ref="J233:J234"/>
    <mergeCell ref="J235:J239"/>
    <mergeCell ref="J240:J245"/>
    <mergeCell ref="J246:J250"/>
    <mergeCell ref="I226:I230"/>
    <mergeCell ref="I231:I232"/>
    <mergeCell ref="I233:I234"/>
    <mergeCell ref="I251:I255"/>
    <mergeCell ref="I257:I258"/>
    <mergeCell ref="J251:J255"/>
    <mergeCell ref="J257:J258"/>
    <mergeCell ref="J259:J261"/>
    <mergeCell ref="J262:J264"/>
    <mergeCell ref="J265:J267"/>
    <mergeCell ref="J268:J278"/>
    <mergeCell ref="J279:J283"/>
    <mergeCell ref="J284:J287"/>
    <mergeCell ref="J81:J86"/>
    <mergeCell ref="J87:J91"/>
    <mergeCell ref="J92:J99"/>
    <mergeCell ref="J100:J104"/>
    <mergeCell ref="J105:J111"/>
    <mergeCell ref="J112:J119"/>
    <mergeCell ref="J120:J127"/>
    <mergeCell ref="J128:J133"/>
    <mergeCell ref="J134:J138"/>
    <mergeCell ref="J146:J151"/>
    <mergeCell ref="J152:J159"/>
    <mergeCell ref="J160:J162"/>
    <mergeCell ref="J163:J168"/>
    <mergeCell ref="J169:J179"/>
    <mergeCell ref="J180:J189"/>
    <mergeCell ref="J190:J197"/>
    <mergeCell ref="J198:J201"/>
    <mergeCell ref="J202:J211"/>
    <mergeCell ref="J46:J48"/>
    <mergeCell ref="J49:J53"/>
    <mergeCell ref="J54:J59"/>
    <mergeCell ref="J60:J62"/>
    <mergeCell ref="J63:J64"/>
    <mergeCell ref="J65:J68"/>
    <mergeCell ref="J69:J71"/>
    <mergeCell ref="J72:J74"/>
    <mergeCell ref="J75:J80"/>
    <mergeCell ref="I46:I48"/>
    <mergeCell ref="I49:I53"/>
    <mergeCell ref="I54:I59"/>
    <mergeCell ref="I60:I62"/>
    <mergeCell ref="I63:I64"/>
    <mergeCell ref="I65:I68"/>
    <mergeCell ref="I69:I71"/>
    <mergeCell ref="I72:I74"/>
    <mergeCell ref="I75:I80"/>
    <mergeCell ref="I81:I86"/>
    <mergeCell ref="I87:I91"/>
    <mergeCell ref="I92:I99"/>
    <mergeCell ref="I100:I104"/>
    <mergeCell ref="I105:I111"/>
    <mergeCell ref="I112:I119"/>
    <mergeCell ref="I120:I127"/>
    <mergeCell ref="I128:I133"/>
    <mergeCell ref="I134:I138"/>
    <mergeCell ref="B135:B136"/>
    <mergeCell ref="B140:B141"/>
    <mergeCell ref="B146:B148"/>
    <mergeCell ref="B156:B158"/>
    <mergeCell ref="I240:I245"/>
    <mergeCell ref="I246:I250"/>
    <mergeCell ref="H325:H329"/>
    <mergeCell ref="H330:H332"/>
    <mergeCell ref="I146:I151"/>
    <mergeCell ref="H169:H179"/>
    <mergeCell ref="H180:H189"/>
    <mergeCell ref="H190:H197"/>
    <mergeCell ref="H198:H201"/>
    <mergeCell ref="H202:H211"/>
    <mergeCell ref="H212:H218"/>
    <mergeCell ref="I259:I261"/>
    <mergeCell ref="I262:I264"/>
    <mergeCell ref="I265:I267"/>
    <mergeCell ref="I268:I278"/>
    <mergeCell ref="I279:I283"/>
    <mergeCell ref="I284:I287"/>
    <mergeCell ref="I288:I292"/>
    <mergeCell ref="I152:I159"/>
    <mergeCell ref="B169:B170"/>
    <mergeCell ref="H81:H86"/>
    <mergeCell ref="H87:H91"/>
    <mergeCell ref="H92:H99"/>
    <mergeCell ref="H100:H104"/>
    <mergeCell ref="H105:H111"/>
    <mergeCell ref="H112:H119"/>
    <mergeCell ref="H120:H127"/>
    <mergeCell ref="H128:H133"/>
    <mergeCell ref="H134:H138"/>
    <mergeCell ref="H46:H48"/>
    <mergeCell ref="H49:H53"/>
    <mergeCell ref="H54:H59"/>
    <mergeCell ref="H60:H62"/>
    <mergeCell ref="H63:H64"/>
    <mergeCell ref="H65:H68"/>
    <mergeCell ref="H69:H71"/>
    <mergeCell ref="H72:H74"/>
    <mergeCell ref="H75:H80"/>
    <mergeCell ref="B180:B182"/>
    <mergeCell ref="B185:B187"/>
    <mergeCell ref="B194:B195"/>
    <mergeCell ref="H259:H261"/>
    <mergeCell ref="H262:H264"/>
    <mergeCell ref="H160:H162"/>
    <mergeCell ref="H163:H168"/>
    <mergeCell ref="H146:H151"/>
    <mergeCell ref="H231:H232"/>
    <mergeCell ref="H219:H220"/>
    <mergeCell ref="H221:H225"/>
    <mergeCell ref="H226:H230"/>
    <mergeCell ref="H233:H234"/>
    <mergeCell ref="H152:H159"/>
    <mergeCell ref="B237:B238"/>
    <mergeCell ref="B242:B243"/>
    <mergeCell ref="B244:B245"/>
    <mergeCell ref="B246:B247"/>
    <mergeCell ref="B177:B178"/>
    <mergeCell ref="B200:B201"/>
    <mergeCell ref="B202:B204"/>
    <mergeCell ref="B206:B207"/>
    <mergeCell ref="B216:B218"/>
    <mergeCell ref="B224:B225"/>
    <mergeCell ref="H235:H239"/>
    <mergeCell ref="H240:H245"/>
    <mergeCell ref="H246:H250"/>
    <mergeCell ref="H251:H255"/>
    <mergeCell ref="H257:H258"/>
    <mergeCell ref="H139:H145"/>
    <mergeCell ref="I160:I162"/>
    <mergeCell ref="I180:I189"/>
    <mergeCell ref="I190:I197"/>
    <mergeCell ref="I198:I201"/>
    <mergeCell ref="I202:I211"/>
    <mergeCell ref="I212:I218"/>
    <mergeCell ref="I219:I220"/>
    <mergeCell ref="I221:I225"/>
    <mergeCell ref="I163:I168"/>
    <mergeCell ref="I169:I179"/>
    <mergeCell ref="F1046:I1046"/>
    <mergeCell ref="B10:B11"/>
    <mergeCell ref="B14:B15"/>
    <mergeCell ref="B27:B30"/>
    <mergeCell ref="B32:B33"/>
    <mergeCell ref="B38:B39"/>
    <mergeCell ref="B51:B53"/>
    <mergeCell ref="B56:B57"/>
    <mergeCell ref="B67:B68"/>
    <mergeCell ref="B75:B77"/>
    <mergeCell ref="B78:B79"/>
    <mergeCell ref="B81:B82"/>
    <mergeCell ref="B89:B91"/>
    <mergeCell ref="B95:B97"/>
    <mergeCell ref="B98:B99"/>
    <mergeCell ref="B103:B104"/>
    <mergeCell ref="B107:B108"/>
    <mergeCell ref="B112:B113"/>
    <mergeCell ref="B132:B133"/>
    <mergeCell ref="B304:B306"/>
    <mergeCell ref="H279:H283"/>
    <mergeCell ref="H284:H287"/>
    <mergeCell ref="I139:I145"/>
    <mergeCell ref="I235:I239"/>
    <mergeCell ref="J312:J314"/>
    <mergeCell ref="J393:J395"/>
    <mergeCell ref="I385:I389"/>
    <mergeCell ref="I337:I339"/>
    <mergeCell ref="I340:I346"/>
    <mergeCell ref="I347:I351"/>
    <mergeCell ref="I325:I329"/>
    <mergeCell ref="J347:J351"/>
    <mergeCell ref="J330:J332"/>
    <mergeCell ref="I352:I357"/>
    <mergeCell ref="J390:J392"/>
    <mergeCell ref="J352:J357"/>
    <mergeCell ref="J323:J324"/>
    <mergeCell ref="J325:J329"/>
    <mergeCell ref="J335:J336"/>
    <mergeCell ref="J337:J339"/>
    <mergeCell ref="J340:J346"/>
    <mergeCell ref="I333:I334"/>
    <mergeCell ref="J333:J334"/>
    <mergeCell ref="I373:I376"/>
    <mergeCell ref="J373:J376"/>
    <mergeCell ref="I370:I372"/>
    <mergeCell ref="J370:J372"/>
    <mergeCell ref="I358:I367"/>
    <mergeCell ref="J399:J402"/>
    <mergeCell ref="I403:I414"/>
    <mergeCell ref="J403:J414"/>
    <mergeCell ref="I377:I384"/>
    <mergeCell ref="J377:J384"/>
    <mergeCell ref="I399:I402"/>
    <mergeCell ref="B340:B341"/>
    <mergeCell ref="J396:J398"/>
    <mergeCell ref="H340:H346"/>
    <mergeCell ref="J358:J367"/>
    <mergeCell ref="I368:I369"/>
    <mergeCell ref="J368:J369"/>
    <mergeCell ref="I390:I392"/>
    <mergeCell ref="J385:J389"/>
    <mergeCell ref="H352:H357"/>
    <mergeCell ref="H347:H351"/>
    <mergeCell ref="B411:B412"/>
    <mergeCell ref="B371:B372"/>
    <mergeCell ref="I396:I398"/>
    <mergeCell ref="B404:B406"/>
    <mergeCell ref="B251:B253"/>
    <mergeCell ref="B270:B272"/>
    <mergeCell ref="B289:B290"/>
    <mergeCell ref="B297:B298"/>
    <mergeCell ref="H265:H267"/>
    <mergeCell ref="B307:B308"/>
    <mergeCell ref="B315:B316"/>
    <mergeCell ref="B317:B319"/>
    <mergeCell ref="B327:B329"/>
    <mergeCell ref="H288:H292"/>
    <mergeCell ref="H268:H278"/>
    <mergeCell ref="H293:H298"/>
    <mergeCell ref="H303:H309"/>
    <mergeCell ref="H310:H311"/>
    <mergeCell ref="H312:H314"/>
    <mergeCell ref="H315:H320"/>
    <mergeCell ref="H321:H322"/>
    <mergeCell ref="H323:H324"/>
    <mergeCell ref="H333:H334"/>
    <mergeCell ref="I415:I416"/>
    <mergeCell ref="H486:H490"/>
    <mergeCell ref="I510:I511"/>
    <mergeCell ref="H510:H511"/>
    <mergeCell ref="B675:B677"/>
    <mergeCell ref="B687:B688"/>
    <mergeCell ref="I685:I688"/>
    <mergeCell ref="H685:H688"/>
    <mergeCell ref="H674:H678"/>
    <mergeCell ref="I679:I684"/>
    <mergeCell ref="H679:H684"/>
    <mergeCell ref="B633:B635"/>
    <mergeCell ref="B626:B627"/>
    <mergeCell ref="I652:I654"/>
    <mergeCell ref="H652:H654"/>
    <mergeCell ref="I648:I651"/>
    <mergeCell ref="H648:H651"/>
    <mergeCell ref="B644:B645"/>
    <mergeCell ref="H641:H645"/>
    <mergeCell ref="I646:I647"/>
    <mergeCell ref="B534:B536"/>
    <mergeCell ref="B597:B598"/>
    <mergeCell ref="B568:B569"/>
    <mergeCell ref="B603:B605"/>
    <mergeCell ref="B556:B558"/>
    <mergeCell ref="B554:B555"/>
    <mergeCell ref="B550:B551"/>
    <mergeCell ref="B572:B573"/>
    <mergeCell ref="J566:J570"/>
    <mergeCell ref="H566:H570"/>
    <mergeCell ref="J606:J608"/>
    <mergeCell ref="I629:I635"/>
    <mergeCell ref="H629:H635"/>
    <mergeCell ref="I610:I613"/>
    <mergeCell ref="I614:I621"/>
    <mergeCell ref="H614:H621"/>
    <mergeCell ref="I566:I570"/>
    <mergeCell ref="H571:H576"/>
    <mergeCell ref="I622:I628"/>
    <mergeCell ref="H587:H590"/>
    <mergeCell ref="H600:H609"/>
    <mergeCell ref="H595:H599"/>
    <mergeCell ref="H610:H613"/>
    <mergeCell ref="B574:B575"/>
    <mergeCell ref="J639:J640"/>
    <mergeCell ref="J636:J638"/>
    <mergeCell ref="H655:H661"/>
    <mergeCell ref="J655:J661"/>
    <mergeCell ref="B660:B661"/>
    <mergeCell ref="I639:I640"/>
    <mergeCell ref="J641:J645"/>
    <mergeCell ref="B790:B792"/>
    <mergeCell ref="B782:B783"/>
    <mergeCell ref="B778:B780"/>
    <mergeCell ref="I782:I786"/>
    <mergeCell ref="J782:J786"/>
    <mergeCell ref="H782:H786"/>
    <mergeCell ref="B657:B659"/>
    <mergeCell ref="J652:J654"/>
    <mergeCell ref="J648:J651"/>
    <mergeCell ref="B696:B698"/>
    <mergeCell ref="B668:B670"/>
    <mergeCell ref="I689:I691"/>
    <mergeCell ref="H689:H691"/>
    <mergeCell ref="I692:I693"/>
    <mergeCell ref="J662:J670"/>
    <mergeCell ref="H662:H670"/>
    <mergeCell ref="H671:H673"/>
    <mergeCell ref="J671:J673"/>
    <mergeCell ref="J685:J688"/>
    <mergeCell ref="I671:I673"/>
    <mergeCell ref="I694:I698"/>
    <mergeCell ref="H694:H698"/>
    <mergeCell ref="J694:J698"/>
    <mergeCell ref="I674:I678"/>
    <mergeCell ref="J716:J717"/>
    <mergeCell ref="I804:I806"/>
    <mergeCell ref="H804:H806"/>
    <mergeCell ref="J804:J806"/>
    <mergeCell ref="I793:I794"/>
    <mergeCell ref="J787:J792"/>
    <mergeCell ref="J692:J693"/>
    <mergeCell ref="I766:I770"/>
    <mergeCell ref="H766:H770"/>
    <mergeCell ref="H807:H809"/>
    <mergeCell ref="J807:J809"/>
    <mergeCell ref="I807:I809"/>
    <mergeCell ref="I738:I744"/>
    <mergeCell ref="J738:J744"/>
    <mergeCell ref="I716:I717"/>
    <mergeCell ref="J725:J727"/>
    <mergeCell ref="J728:J733"/>
    <mergeCell ref="H738:H744"/>
    <mergeCell ref="J793:J794"/>
    <mergeCell ref="I728:I733"/>
    <mergeCell ref="H728:H733"/>
    <mergeCell ref="I725:I727"/>
    <mergeCell ref="H725:H727"/>
    <mergeCell ref="I824:I831"/>
    <mergeCell ref="I819:I823"/>
    <mergeCell ref="I845:I847"/>
    <mergeCell ref="H845:H847"/>
    <mergeCell ref="J845:J847"/>
    <mergeCell ref="H704:H707"/>
    <mergeCell ref="H795:H803"/>
    <mergeCell ref="J795:J803"/>
    <mergeCell ref="I795:I803"/>
    <mergeCell ref="J777:J781"/>
    <mergeCell ref="J734:J737"/>
    <mergeCell ref="J708:J715"/>
    <mergeCell ref="J718:J724"/>
    <mergeCell ref="H793:H794"/>
    <mergeCell ref="I777:I781"/>
    <mergeCell ref="H777:H781"/>
    <mergeCell ref="I787:I792"/>
    <mergeCell ref="H787:H792"/>
    <mergeCell ref="J704:J707"/>
    <mergeCell ref="I704:I707"/>
    <mergeCell ref="H819:H823"/>
    <mergeCell ref="H824:H831"/>
    <mergeCell ref="J824:J831"/>
    <mergeCell ref="H716:H717"/>
    <mergeCell ref="I883:I894"/>
    <mergeCell ref="H883:H894"/>
    <mergeCell ref="B891:B892"/>
    <mergeCell ref="B893:B894"/>
    <mergeCell ref="J842:J844"/>
    <mergeCell ref="I833:I841"/>
    <mergeCell ref="J833:J841"/>
    <mergeCell ref="B801:B803"/>
    <mergeCell ref="B799:B800"/>
    <mergeCell ref="B853:B855"/>
    <mergeCell ref="B850:B852"/>
    <mergeCell ref="J819:J823"/>
    <mergeCell ref="I814:I818"/>
    <mergeCell ref="H814:H818"/>
    <mergeCell ref="J814:J818"/>
    <mergeCell ref="B838:B840"/>
    <mergeCell ref="B836:B837"/>
    <mergeCell ref="I810:I813"/>
    <mergeCell ref="H810:H813"/>
    <mergeCell ref="J810:J813"/>
    <mergeCell ref="B820:B822"/>
    <mergeCell ref="B825:B827"/>
    <mergeCell ref="B815:B816"/>
    <mergeCell ref="B811:B813"/>
    <mergeCell ref="B888:B889"/>
    <mergeCell ref="B877:B879"/>
    <mergeCell ref="J883:J894"/>
    <mergeCell ref="J895:J901"/>
    <mergeCell ref="H895:H901"/>
    <mergeCell ref="I842:I844"/>
    <mergeCell ref="H842:H844"/>
    <mergeCell ref="B884:B886"/>
    <mergeCell ref="B857:B858"/>
    <mergeCell ref="I848:I852"/>
    <mergeCell ref="H848:H852"/>
    <mergeCell ref="I853:I861"/>
    <mergeCell ref="H853:H861"/>
    <mergeCell ref="I862:I863"/>
    <mergeCell ref="H862:H863"/>
    <mergeCell ref="I864:I865"/>
    <mergeCell ref="H864:H865"/>
    <mergeCell ref="I866:I870"/>
    <mergeCell ref="H866:H870"/>
    <mergeCell ref="H880:H882"/>
    <mergeCell ref="B872:B873"/>
    <mergeCell ref="B869:B870"/>
    <mergeCell ref="B862:B863"/>
    <mergeCell ref="B859:B861"/>
    <mergeCell ref="J848:J852"/>
    <mergeCell ref="J853:J861"/>
    <mergeCell ref="J862:J863"/>
    <mergeCell ref="J864:J865"/>
    <mergeCell ref="J866:J870"/>
    <mergeCell ref="I875:I877"/>
    <mergeCell ref="J875:J877"/>
    <mergeCell ref="H875:H877"/>
    <mergeCell ref="I880:I882"/>
    <mergeCell ref="J880:J882"/>
    <mergeCell ref="J878:J879"/>
    <mergeCell ref="I871:I874"/>
    <mergeCell ref="H871:H874"/>
    <mergeCell ref="J871:J874"/>
    <mergeCell ref="H878:H879"/>
    <mergeCell ref="I878:I879"/>
    <mergeCell ref="J924:J928"/>
    <mergeCell ref="B906:B908"/>
    <mergeCell ref="B904:B905"/>
    <mergeCell ref="B897:B899"/>
    <mergeCell ref="B912:B914"/>
    <mergeCell ref="J903:J910"/>
    <mergeCell ref="I911:I914"/>
    <mergeCell ref="J911:J914"/>
    <mergeCell ref="I895:I901"/>
    <mergeCell ref="I915:I917"/>
    <mergeCell ref="H915:H917"/>
    <mergeCell ref="I903:I910"/>
    <mergeCell ref="H903:H910"/>
    <mergeCell ref="I922:I923"/>
    <mergeCell ref="H922:H923"/>
    <mergeCell ref="J915:J917"/>
    <mergeCell ref="I918:I919"/>
    <mergeCell ref="J922:J923"/>
    <mergeCell ref="J918:J919"/>
    <mergeCell ref="I920:I921"/>
    <mergeCell ref="H920:H921"/>
    <mergeCell ref="I969:I971"/>
    <mergeCell ref="H969:H971"/>
    <mergeCell ref="J969:J971"/>
    <mergeCell ref="I972:I975"/>
    <mergeCell ref="H972:H975"/>
    <mergeCell ref="J972:J975"/>
    <mergeCell ref="M952:M953"/>
    <mergeCell ref="M959:M960"/>
    <mergeCell ref="M961:M963"/>
    <mergeCell ref="I959:I968"/>
    <mergeCell ref="H959:H968"/>
    <mergeCell ref="J959:J968"/>
    <mergeCell ref="I949:I954"/>
    <mergeCell ref="H949:H954"/>
    <mergeCell ref="J949:J954"/>
    <mergeCell ref="I955:I958"/>
    <mergeCell ref="H955:H958"/>
    <mergeCell ref="J955:J958"/>
    <mergeCell ref="J920:J921"/>
    <mergeCell ref="B952:B953"/>
    <mergeCell ref="B945:B946"/>
    <mergeCell ref="B942:B944"/>
    <mergeCell ref="B927:B928"/>
    <mergeCell ref="I929:I934"/>
    <mergeCell ref="J929:J934"/>
    <mergeCell ref="H929:H934"/>
    <mergeCell ref="I935:I937"/>
    <mergeCell ref="J935:J937"/>
    <mergeCell ref="H935:H937"/>
    <mergeCell ref="I940:I946"/>
    <mergeCell ref="H940:H946"/>
    <mergeCell ref="J940:J946"/>
    <mergeCell ref="I938:I939"/>
    <mergeCell ref="H938:H939"/>
    <mergeCell ref="J938:J939"/>
    <mergeCell ref="B933:B934"/>
    <mergeCell ref="B929:B932"/>
    <mergeCell ref="I947:I948"/>
    <mergeCell ref="H947:H948"/>
    <mergeCell ref="J947:J948"/>
    <mergeCell ref="I924:I928"/>
    <mergeCell ref="H924:H928"/>
    <mergeCell ref="B1007:B1008"/>
    <mergeCell ref="B997:B998"/>
    <mergeCell ref="B994:B995"/>
    <mergeCell ref="B991:B992"/>
    <mergeCell ref="B979:B982"/>
    <mergeCell ref="H918:H919"/>
    <mergeCell ref="B961:B963"/>
    <mergeCell ref="B959:B960"/>
    <mergeCell ref="B924:B926"/>
    <mergeCell ref="B920:B921"/>
    <mergeCell ref="B967:B968"/>
    <mergeCell ref="B1023:B1025"/>
    <mergeCell ref="B1021:B1022"/>
    <mergeCell ref="I989:I993"/>
    <mergeCell ref="H989:H993"/>
    <mergeCell ref="J989:J993"/>
    <mergeCell ref="I987:I988"/>
    <mergeCell ref="H987:H988"/>
    <mergeCell ref="J987:J988"/>
    <mergeCell ref="I994:I996"/>
    <mergeCell ref="H994:H996"/>
    <mergeCell ref="J994:J996"/>
    <mergeCell ref="I997:I1000"/>
    <mergeCell ref="H997:H1000"/>
    <mergeCell ref="J997:J1000"/>
    <mergeCell ref="I1001:I1002"/>
    <mergeCell ref="H1001:H1002"/>
    <mergeCell ref="J1001:J1002"/>
    <mergeCell ref="B1004:B1006"/>
    <mergeCell ref="I1003:I1006"/>
    <mergeCell ref="H1003:H1006"/>
    <mergeCell ref="J1003:J1006"/>
    <mergeCell ref="I1007:I1009"/>
    <mergeCell ref="H1007:H1009"/>
    <mergeCell ref="J1007:J1009"/>
  </mergeCells>
  <pageMargins left="0.75" right="0.75" top="1" bottom="1" header="0.5" footer="0.5"/>
  <pageSetup paperSize="9" scale="64" orientation="portrait" r:id="rId1"/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E18"/>
  <sheetViews>
    <sheetView topLeftCell="A3" workbookViewId="0">
      <selection activeCell="E7" sqref="E7"/>
    </sheetView>
  </sheetViews>
  <sheetFormatPr defaultColWidth="8.85546875" defaultRowHeight="15"/>
  <cols>
    <col min="1" max="1" width="11.5703125" customWidth="1"/>
    <col min="2" max="2" width="0.85546875" customWidth="1"/>
    <col min="3" max="3" width="50.42578125" customWidth="1"/>
    <col min="4" max="4" width="16.85546875" customWidth="1"/>
    <col min="5" max="5" width="43.5703125" customWidth="1"/>
  </cols>
  <sheetData>
    <row r="1" spans="1:5" ht="31.5">
      <c r="A1" s="1" t="s">
        <v>139</v>
      </c>
      <c r="B1" s="2"/>
      <c r="E1" s="3">
        <v>44907</v>
      </c>
    </row>
    <row r="2" spans="1:5" ht="18.75">
      <c r="A2" s="4" t="s">
        <v>140</v>
      </c>
      <c r="B2" s="4"/>
      <c r="C2" s="4" t="s">
        <v>2</v>
      </c>
      <c r="D2" s="4"/>
      <c r="E2" s="5" t="s">
        <v>141</v>
      </c>
    </row>
    <row r="3" spans="1:5" ht="18.75">
      <c r="A3" s="4" t="s">
        <v>8</v>
      </c>
      <c r="B3" s="4"/>
      <c r="C3" s="6" t="s">
        <v>9</v>
      </c>
      <c r="D3" s="4"/>
      <c r="E3" s="4" t="s">
        <v>142</v>
      </c>
    </row>
    <row r="4" spans="1:5" ht="18.75">
      <c r="A4" s="4"/>
      <c r="B4" s="4"/>
      <c r="C4" s="6"/>
      <c r="D4" s="4"/>
      <c r="E4" s="4"/>
    </row>
    <row r="5" spans="1:5" ht="18.75">
      <c r="A5" s="4"/>
      <c r="B5" s="4"/>
      <c r="C5" s="6"/>
      <c r="D5" s="4"/>
      <c r="E5" s="4"/>
    </row>
    <row r="6" spans="1:5" ht="18.75">
      <c r="A6" s="7" t="s">
        <v>15</v>
      </c>
      <c r="B6" s="8"/>
      <c r="C6" s="8" t="s">
        <v>16</v>
      </c>
      <c r="D6" s="9" t="s">
        <v>17</v>
      </c>
      <c r="E6" s="9" t="s">
        <v>17</v>
      </c>
    </row>
    <row r="7" spans="1:5" ht="18.75">
      <c r="A7" s="10">
        <v>80</v>
      </c>
      <c r="B7" s="11"/>
      <c r="C7" s="12" t="s">
        <v>143</v>
      </c>
      <c r="D7" s="13">
        <v>46500</v>
      </c>
      <c r="E7" s="14">
        <f t="shared" ref="E7:E12" si="0">IF(D7="-","-",A7*D7)</f>
        <v>3720000</v>
      </c>
    </row>
    <row r="8" spans="1:5" ht="18.75">
      <c r="A8" s="10">
        <v>355</v>
      </c>
      <c r="B8" s="11"/>
      <c r="C8" s="12" t="s">
        <v>332</v>
      </c>
      <c r="D8" s="15">
        <v>27000</v>
      </c>
      <c r="E8" s="14">
        <f t="shared" si="0"/>
        <v>9585000</v>
      </c>
    </row>
    <row r="9" spans="1:5" ht="18.75">
      <c r="A9" s="10">
        <v>300</v>
      </c>
      <c r="B9" s="11"/>
      <c r="C9" s="12" t="s">
        <v>222</v>
      </c>
      <c r="D9" s="15">
        <v>16000</v>
      </c>
      <c r="E9" s="14">
        <f t="shared" si="0"/>
        <v>4800000</v>
      </c>
    </row>
    <row r="10" spans="1:5" ht="18.75">
      <c r="A10" s="10">
        <v>200</v>
      </c>
      <c r="B10" s="11"/>
      <c r="C10" s="12" t="s">
        <v>224</v>
      </c>
      <c r="D10" s="15">
        <v>16000</v>
      </c>
      <c r="E10" s="14">
        <f t="shared" si="0"/>
        <v>3200000</v>
      </c>
    </row>
    <row r="11" spans="1:5" ht="18.75">
      <c r="A11" s="10"/>
      <c r="B11" s="11"/>
      <c r="C11" s="12"/>
      <c r="D11" s="15" t="str">
        <f>IFERROR(INDEX(barang,MATCH(C11,nmbarang,0),2),"-")</f>
        <v>-</v>
      </c>
      <c r="E11" s="14" t="str">
        <f t="shared" si="0"/>
        <v>-</v>
      </c>
    </row>
    <row r="12" spans="1:5" ht="18.75">
      <c r="A12" s="10"/>
      <c r="B12" s="11"/>
      <c r="C12" s="12"/>
      <c r="D12" s="15" t="str">
        <f>IFERROR(INDEX(barang,MATCH(C12,nmbarang,0),2),"-")</f>
        <v>-</v>
      </c>
      <c r="E12" s="14" t="str">
        <f t="shared" si="0"/>
        <v>-</v>
      </c>
    </row>
    <row r="13" spans="1:5" ht="18.75">
      <c r="A13" s="16"/>
      <c r="B13" s="17"/>
      <c r="C13" s="18"/>
      <c r="D13" s="19" t="s">
        <v>144</v>
      </c>
      <c r="E13" s="19"/>
    </row>
    <row r="14" spans="1:5" ht="18.75">
      <c r="A14" s="639"/>
      <c r="B14" s="639"/>
      <c r="C14" s="639"/>
      <c r="D14" s="639"/>
      <c r="E14" s="20">
        <f>SUM(E7:E13)</f>
        <v>21305000</v>
      </c>
    </row>
    <row r="15" spans="1:5" ht="18.75">
      <c r="B15" s="21"/>
      <c r="C15" s="4" t="s">
        <v>144</v>
      </c>
      <c r="D15" s="640"/>
      <c r="E15" s="641"/>
    </row>
    <row r="16" spans="1:5" ht="18.75">
      <c r="A16" s="21" t="s">
        <v>145</v>
      </c>
      <c r="B16" s="4"/>
      <c r="C16" s="4"/>
      <c r="D16" s="4" t="s">
        <v>146</v>
      </c>
    </row>
    <row r="17" spans="1:5" ht="18.75">
      <c r="A17" s="4"/>
      <c r="B17" s="4"/>
      <c r="C17" s="4"/>
      <c r="D17" s="4"/>
      <c r="E17" s="22"/>
    </row>
    <row r="18" spans="1:5" ht="18.75">
      <c r="A18" s="4" t="s">
        <v>26</v>
      </c>
      <c r="B18" s="4"/>
      <c r="C18" s="4"/>
      <c r="D18" s="23" t="s">
        <v>147</v>
      </c>
      <c r="E18" s="24"/>
    </row>
  </sheetData>
  <mergeCells count="2">
    <mergeCell ref="A14:D14"/>
    <mergeCell ref="D15:E15"/>
  </mergeCells>
  <dataValidations count="1">
    <dataValidation type="list" allowBlank="1" showInputMessage="1" showErrorMessage="1" sqref="C7:C12">
      <formula1>nmbarang</formula1>
    </dataValidation>
  </dataValidations>
  <hyperlinks>
    <hyperlink ref="C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C2:G29"/>
  <sheetViews>
    <sheetView topLeftCell="A14" workbookViewId="0">
      <selection activeCell="I31" sqref="I31"/>
    </sheetView>
  </sheetViews>
  <sheetFormatPr defaultRowHeight="15"/>
  <cols>
    <col min="3" max="3" width="22.28515625" customWidth="1"/>
    <col min="4" max="4" width="14" bestFit="1" customWidth="1"/>
    <col min="7" max="7" width="27.85546875" customWidth="1"/>
  </cols>
  <sheetData>
    <row r="2" spans="3:7" ht="18.75">
      <c r="C2" s="14">
        <v>14950000</v>
      </c>
      <c r="G2" s="14">
        <f>C2+C3</f>
        <v>48070000</v>
      </c>
    </row>
    <row r="3" spans="3:7" ht="18.75">
      <c r="C3" s="14">
        <v>33120000</v>
      </c>
      <c r="G3" s="14">
        <f>G2+C4</f>
        <v>64782500</v>
      </c>
    </row>
    <row r="4" spans="3:7" ht="18.75">
      <c r="C4" s="14">
        <v>16712500</v>
      </c>
      <c r="G4" s="14">
        <f t="shared" ref="G4:G24" si="0">G3+C5</f>
        <v>97348000</v>
      </c>
    </row>
    <row r="5" spans="3:7" ht="18.75">
      <c r="C5" s="14">
        <v>32565500</v>
      </c>
      <c r="G5" s="14">
        <f t="shared" si="0"/>
        <v>112298000</v>
      </c>
    </row>
    <row r="6" spans="3:7" ht="18.75">
      <c r="C6" s="14">
        <v>14950000</v>
      </c>
      <c r="G6" s="14">
        <f t="shared" si="0"/>
        <v>145418000</v>
      </c>
    </row>
    <row r="7" spans="3:7" ht="18.75">
      <c r="C7" s="14">
        <v>33120000</v>
      </c>
      <c r="G7" s="14">
        <f t="shared" si="0"/>
        <v>160368000</v>
      </c>
    </row>
    <row r="8" spans="3:7" ht="18.75">
      <c r="C8" s="14">
        <v>14950000</v>
      </c>
      <c r="G8" s="14">
        <f t="shared" si="0"/>
        <v>170718000</v>
      </c>
    </row>
    <row r="9" spans="3:7" ht="18.75">
      <c r="C9" s="14">
        <v>10350000</v>
      </c>
      <c r="D9" s="450">
        <f>SUM(C9:C12)</f>
        <v>34060000</v>
      </c>
      <c r="G9" s="14">
        <f t="shared" si="0"/>
        <v>176558000</v>
      </c>
    </row>
    <row r="10" spans="3:7" ht="18.75">
      <c r="C10" s="14">
        <v>5840000</v>
      </c>
      <c r="G10" s="14">
        <f t="shared" si="0"/>
        <v>179478000</v>
      </c>
    </row>
    <row r="11" spans="3:7" ht="18.75">
      <c r="C11" s="14">
        <v>2920000</v>
      </c>
      <c r="G11" s="14">
        <f t="shared" si="0"/>
        <v>194428000</v>
      </c>
    </row>
    <row r="12" spans="3:7" ht="18.75">
      <c r="C12" s="14">
        <v>14950000</v>
      </c>
      <c r="G12" s="14">
        <f t="shared" si="0"/>
        <v>195888000</v>
      </c>
    </row>
    <row r="13" spans="3:7" ht="18.75">
      <c r="C13" s="14">
        <v>1460000</v>
      </c>
      <c r="D13" s="450">
        <f>SUM(C13:C15)</f>
        <v>34360000</v>
      </c>
      <c r="G13" s="14">
        <f t="shared" si="0"/>
        <v>200268000</v>
      </c>
    </row>
    <row r="14" spans="3:7" ht="18.75">
      <c r="C14" s="14">
        <v>4380000</v>
      </c>
      <c r="G14" s="14">
        <f t="shared" si="0"/>
        <v>228788000</v>
      </c>
    </row>
    <row r="15" spans="3:7" ht="18.75">
      <c r="C15" s="14">
        <v>28520000</v>
      </c>
      <c r="G15" s="14">
        <f t="shared" si="0"/>
        <v>232608000</v>
      </c>
    </row>
    <row r="16" spans="3:7" ht="18.75">
      <c r="C16" s="14">
        <v>3820000</v>
      </c>
      <c r="G16" s="14">
        <f t="shared" si="0"/>
        <v>244798000</v>
      </c>
    </row>
    <row r="17" spans="3:7" ht="18.75">
      <c r="C17" s="14">
        <v>12190000</v>
      </c>
      <c r="D17" s="450">
        <f>C17+C16</f>
        <v>16010000</v>
      </c>
      <c r="G17" s="14">
        <f t="shared" si="0"/>
        <v>247718000</v>
      </c>
    </row>
    <row r="18" spans="3:7" ht="18.75">
      <c r="C18" s="14">
        <v>2920000</v>
      </c>
      <c r="G18" s="14">
        <f t="shared" si="0"/>
        <v>249178000</v>
      </c>
    </row>
    <row r="19" spans="3:7" ht="18.75">
      <c r="C19" s="14">
        <v>1460000</v>
      </c>
      <c r="G19" s="14">
        <f t="shared" si="0"/>
        <v>260908000</v>
      </c>
    </row>
    <row r="20" spans="3:7" ht="18.75">
      <c r="C20" s="14">
        <v>11730000</v>
      </c>
      <c r="G20" s="14">
        <f t="shared" si="0"/>
        <v>262818000</v>
      </c>
    </row>
    <row r="21" spans="3:7" ht="18.75">
      <c r="C21" s="14">
        <v>1910000</v>
      </c>
      <c r="G21" s="14">
        <f t="shared" si="0"/>
        <v>294098000</v>
      </c>
    </row>
    <row r="22" spans="3:7" ht="18.75">
      <c r="C22" s="14">
        <v>31280000</v>
      </c>
      <c r="G22" s="14">
        <f t="shared" si="0"/>
        <v>309738000</v>
      </c>
    </row>
    <row r="23" spans="3:7" ht="18.75">
      <c r="C23" s="14">
        <v>15640000</v>
      </c>
      <c r="G23" s="14">
        <f t="shared" si="0"/>
        <v>324688000</v>
      </c>
    </row>
    <row r="24" spans="3:7" ht="18.75">
      <c r="C24" s="14">
        <v>14950000</v>
      </c>
      <c r="G24" s="14">
        <f t="shared" si="0"/>
        <v>353208000</v>
      </c>
    </row>
    <row r="25" spans="3:7" ht="18.75">
      <c r="C25" s="14">
        <v>28520000</v>
      </c>
      <c r="G25" s="14"/>
    </row>
    <row r="26" spans="3:7" ht="18.75">
      <c r="C26" s="14">
        <f>SUM(C2:C25)</f>
        <v>353208000</v>
      </c>
      <c r="F26" s="525" t="s">
        <v>339</v>
      </c>
      <c r="G26" s="14"/>
    </row>
    <row r="27" spans="3:7" ht="18.75">
      <c r="C27" s="14">
        <v>1</v>
      </c>
      <c r="G27" s="14"/>
    </row>
    <row r="28" spans="3:7" ht="18.75">
      <c r="C28" s="14">
        <v>1</v>
      </c>
      <c r="G28" s="14"/>
    </row>
    <row r="29" spans="3:7" ht="18.75">
      <c r="C29" s="14">
        <v>1</v>
      </c>
      <c r="G2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REKAP</vt:lpstr>
      <vt:lpstr>surat jalan</vt:lpstr>
      <vt:lpstr>KEUANGAN</vt:lpstr>
      <vt:lpstr>KEUANGAN 2</vt:lpstr>
      <vt:lpstr>NOTA</vt:lpstr>
      <vt:lpstr>kalkulator manual</vt:lpstr>
      <vt:lpstr>daftar</vt:lpstr>
      <vt:lpstr>nmdaftar</vt:lpstr>
      <vt:lpstr>KEUANGAN!Print_Area</vt:lpstr>
      <vt:lpstr>'KEUANGAN 2'!Print_Area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Firza</dc:creator>
  <cp:lastModifiedBy>User</cp:lastModifiedBy>
  <cp:lastPrinted>2023-12-16T04:12:11Z</cp:lastPrinted>
  <dcterms:created xsi:type="dcterms:W3CDTF">2006-09-16T00:00:00Z</dcterms:created>
  <dcterms:modified xsi:type="dcterms:W3CDTF">2025-07-24T09:40:16Z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4F56A0679E1A48E497EA25F3394EF8A5</vt:lpwstr>
  </property>
  <property fmtid="{D5CDD505-2E9C-101B-9397-08002B2CF9AE}" pid="3" name="KSOProductBuildVer">
    <vt:lpwstr>1033-12.2.0.13193</vt:lpwstr>
  </property>
</Properties>
</file>